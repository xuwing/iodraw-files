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使用说明" sheetId="1" state="visible" r:id="rId1"/>
    <sheet name="1-数据输入" sheetId="2" state="visible" r:id="rId2"/>
    <sheet name="2-24码分析" sheetId="3" state="visible" r:id="rId3"/>
    <sheet name="3-投注方案" sheetId="4" state="visible" r:id="rId4"/>
    <sheet name="4-开奖结果" sheetId="5" state="visible" r:id="rId5"/>
    <sheet name="5-历史记录" sheetId="6" state="visible" r:id="rId6"/>
    <sheet name="6-统计分析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b val="1"/>
      <color rgb="001F4E78"/>
      <sz val="16"/>
    </font>
    <font>
      <color rgb="00666666"/>
      <sz val="10"/>
    </font>
    <font>
      <b val="1"/>
      <color rgb="00C00000"/>
      <sz val="13"/>
    </font>
    <font>
      <b val="1"/>
      <sz val="10"/>
    </font>
    <font>
      <b val="1"/>
      <color rgb="00C55A11"/>
      <sz val="13"/>
    </font>
    <font>
      <b val="1"/>
      <color rgb="004472C4"/>
      <sz val="10"/>
    </font>
    <font>
      <sz val="10"/>
    </font>
    <font>
      <b val="1"/>
      <color rgb="0070AD47"/>
      <sz val="13"/>
    </font>
    <font>
      <b val="1"/>
      <color rgb="007030A0"/>
      <sz val="13"/>
    </font>
    <font>
      <b val="1"/>
      <sz val="11"/>
    </font>
    <font>
      <b val="1"/>
      <color rgb="004472C4"/>
      <sz val="13"/>
    </font>
    <font>
      <b val="1"/>
      <color rgb="0070AD47"/>
      <sz val="11"/>
    </font>
    <font>
      <i val="1"/>
      <sz val="10"/>
    </font>
    <font>
      <b val="1"/>
      <sz val="14"/>
    </font>
    <font>
      <i val="1"/>
      <color rgb="00C00000"/>
      <sz val="10"/>
    </font>
    <font>
      <b val="1"/>
      <color rgb="00FFFFFF"/>
      <sz val="12"/>
    </font>
    <font>
      <i val="1"/>
      <color rgb="00666666"/>
      <sz val="10"/>
    </font>
    <font>
      <b val="1"/>
      <color rgb="00C00000"/>
      <sz val="14"/>
    </font>
    <font>
      <b val="1"/>
      <i val="1"/>
      <color rgb="00C00000"/>
      <sz val="11"/>
    </font>
    <font>
      <sz val="9"/>
    </font>
  </fonts>
  <fills count="5">
    <fill>
      <patternFill/>
    </fill>
    <fill>
      <patternFill patternType="gray125"/>
    </fill>
    <fill>
      <patternFill patternType="solid">
        <fgColor rgb="00B4C7E7"/>
        <bgColor rgb="00B4C7E7"/>
      </patternFill>
    </fill>
    <fill>
      <patternFill patternType="solid">
        <fgColor rgb="004472C4"/>
        <bgColor rgb="004472C4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4" fillId="0" borderId="1" pivotButton="0" quotePrefix="0" xfId="0"/>
    <xf numFmtId="0" fontId="6" fillId="0" borderId="1" pivotButton="0" quotePrefix="0" xfId="0"/>
    <xf numFmtId="0" fontId="7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2" borderId="0" pivotButton="0" quotePrefix="0" xfId="0"/>
    <xf numFmtId="0" fontId="7" fillId="0" borderId="0" pivotButton="0" quotePrefix="0" xfId="0"/>
    <xf numFmtId="0" fontId="2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17" fillId="0" borderId="0" pivotButton="0" quotePrefix="0" xfId="0"/>
    <xf numFmtId="0" fontId="16" fillId="3" borderId="1" applyAlignment="1" pivotButton="0" quotePrefix="0" xfId="0">
      <alignment horizontal="center"/>
    </xf>
    <xf numFmtId="0" fontId="16" fillId="3" borderId="0" applyAlignment="1" pivotButton="0" quotePrefix="0" xfId="0">
      <alignment horizontal="center"/>
    </xf>
    <xf numFmtId="10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18" fillId="0" borderId="0" pivotButton="0" quotePrefix="0" xfId="0"/>
    <xf numFmtId="0" fontId="19" fillId="0" borderId="0" pivotButton="0" quotePrefix="0" xfId="0"/>
    <xf numFmtId="0" fontId="10" fillId="0" borderId="0" pivotButton="0" quotePrefix="0" xfId="0"/>
    <xf numFmtId="0" fontId="16" fillId="2" borderId="0" pivotButton="0" quotePrefix="0" xfId="0"/>
    <xf numFmtId="0" fontId="20" fillId="0" borderId="0" pivotButton="0" quotePrefix="0" xfId="0"/>
    <xf numFmtId="0" fontId="10" fillId="0" borderId="1" pivotButton="0" quotePrefix="0" xfId="0"/>
    <xf numFmtId="0" fontId="0" fillId="0" borderId="1" pivotButton="0" quotePrefix="0" xfId="0"/>
    <xf numFmtId="0" fontId="10" fillId="3" borderId="1" pivotButton="0" quotePrefix="0" xfId="0"/>
    <xf numFmtId="1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30" customHeight="1">
      <c r="A1" s="1" t="inlineStr">
        <is>
          <t>双色球投注方案生成工具（VBA自动化版）- 使用说明</t>
        </is>
      </c>
    </row>
    <row r="2">
      <c r="A2" s="2" t="inlineStr">
        <is>
          <t>版本：2.0 (VBA增强版) | 创建日期：2026-01-04</t>
        </is>
      </c>
    </row>
    <row r="4">
      <c r="A4" s="3" t="inlineStr">
        <is>
          <t>🔥 VBA自动化功能</t>
        </is>
      </c>
    </row>
    <row r="6">
      <c r="A6" t="inlineStr">
        <is>
          <t>本工具包含完整的VBA代码，实现以下自动化功能：</t>
        </is>
      </c>
    </row>
    <row r="8">
      <c r="A8" s="4" t="inlineStr">
        <is>
          <t>✅ 自动生成投注方案 - 一键生成符合模板要求的投注号码</t>
        </is>
      </c>
    </row>
    <row r="9">
      <c r="A9" s="4" t="inlineStr">
        <is>
          <t>✅ 自动判断中奖 - 输入开奖号码后自动比对并记录中奖情况</t>
        </is>
      </c>
    </row>
    <row r="10">
      <c r="A10" s="4" t="inlineStr">
        <is>
          <t>✅ 自动更新历史 - 中奖记录自动保存到历史表</t>
        </is>
      </c>
    </row>
    <row r="11">
      <c r="A11" s="4" t="inlineStr">
        <is>
          <t>✅ 智能验证 - 自动验证号码是否符合奇偶、大小、连号、同尾要求</t>
        </is>
      </c>
    </row>
    <row r="14">
      <c r="A14" s="5" t="inlineStr">
        <is>
          <t>📋 使用步骤（重要！）</t>
        </is>
      </c>
    </row>
    <row r="16">
      <c r="A16" s="6" t="inlineStr">
        <is>
          <t>步骤1</t>
        </is>
      </c>
      <c r="B16" s="7" t="inlineStr">
        <is>
          <t>启用宏</t>
        </is>
      </c>
      <c r="C16" s="8" t="inlineStr">
        <is>
          <t>打开文件时选择【启用宏】或【启用内容】</t>
        </is>
      </c>
    </row>
    <row r="17">
      <c r="A17" s="6" t="inlineStr">
        <is>
          <t>步骤2</t>
        </is>
      </c>
      <c r="B17" s="7" t="inlineStr">
        <is>
          <t>输入数据</t>
        </is>
      </c>
      <c r="C17" s="8" t="inlineStr">
        <is>
          <t>在【1-数据输入】表中输入最近30期开奖数据</t>
        </is>
      </c>
    </row>
    <row r="18">
      <c r="A18" s="6" t="inlineStr">
        <is>
          <t>步骤3</t>
        </is>
      </c>
      <c r="B18" s="7" t="inlineStr">
        <is>
          <t>生成方案</t>
        </is>
      </c>
      <c r="C18" s="8" t="inlineStr">
        <is>
          <t>点击【开发工具】→【宏】→运行【生成投注方案】宏</t>
        </is>
      </c>
    </row>
    <row r="19">
      <c r="A19" s="6" t="inlineStr">
        <is>
          <t>步骤4</t>
        </is>
      </c>
      <c r="B19" s="7" t="inlineStr">
        <is>
          <t>查看方案</t>
        </is>
      </c>
      <c r="C19" s="8" t="inlineStr">
        <is>
          <t>在【3-投注方案】表查看自动生成的投注号码</t>
        </is>
      </c>
    </row>
    <row r="20">
      <c r="A20" s="6" t="inlineStr">
        <is>
          <t>步骤5</t>
        </is>
      </c>
      <c r="B20" s="7" t="inlineStr">
        <is>
          <t>执行投注</t>
        </is>
      </c>
      <c r="C20" s="8" t="inlineStr">
        <is>
          <t>按照生成的方案进行投注</t>
        </is>
      </c>
    </row>
    <row r="21">
      <c r="A21" s="6" t="inlineStr">
        <is>
          <t>步骤6</t>
        </is>
      </c>
      <c r="B21" s="7" t="inlineStr">
        <is>
          <t>输入开奖</t>
        </is>
      </c>
      <c r="C21" s="8" t="inlineStr">
        <is>
          <t>在【4-开奖结果】表输入开奖号码</t>
        </is>
      </c>
    </row>
    <row r="22">
      <c r="A22" s="6" t="inlineStr">
        <is>
          <t>步骤7</t>
        </is>
      </c>
      <c r="B22" s="7" t="inlineStr">
        <is>
          <t>判断中奖</t>
        </is>
      </c>
      <c r="C22" s="8" t="inlineStr">
        <is>
          <t>运行【判断中奖】宏，自动比对并记录中奖情况</t>
        </is>
      </c>
    </row>
    <row r="23">
      <c r="A23" s="6" t="inlineStr">
        <is>
          <t>步骤8</t>
        </is>
      </c>
      <c r="B23" s="7" t="inlineStr">
        <is>
          <t>查看分析</t>
        </is>
      </c>
      <c r="C23" s="8" t="inlineStr">
        <is>
          <t>在【6-统计分析】表查看中奖统计</t>
        </is>
      </c>
    </row>
    <row r="26">
      <c r="A26" s="9" t="inlineStr">
        <is>
          <t>⚡ 快捷操作（添加按钮后）</t>
        </is>
      </c>
    </row>
    <row r="28">
      <c r="A28" t="inlineStr">
        <is>
          <t>可在工作表中添加按钮来快速执行宏：</t>
        </is>
      </c>
    </row>
    <row r="29">
      <c r="A29" t="inlineStr">
        <is>
          <t>• 在【3-投注方案】表添加【生成方案】按钮</t>
        </is>
      </c>
    </row>
    <row r="30">
      <c r="A30" t="inlineStr">
        <is>
          <t>• 在【4-开奖结果】表添加【判断中奖】按钮</t>
        </is>
      </c>
    </row>
    <row r="33">
      <c r="A33" s="10" t="inlineStr">
        <is>
          <t>📊 投注模板规则</t>
        </is>
      </c>
    </row>
    <row r="35">
      <c r="A35" s="11" t="inlineStr">
        <is>
          <t>模板A（80%使用频率）</t>
        </is>
      </c>
    </row>
    <row r="36">
      <c r="A36" s="12" t="inlineStr">
        <is>
          <t>• 奇偶比例：3奇 + 3偶</t>
        </is>
      </c>
    </row>
    <row r="37">
      <c r="A37" s="12" t="inlineStr">
        <is>
          <t>• 大小比例：3小（1-16）+ 3大（17-33）</t>
        </is>
      </c>
    </row>
    <row r="38">
      <c r="A38" s="12" t="inlineStr">
        <is>
          <t>• 连号限制：最多1组连号（如12,13）</t>
        </is>
      </c>
    </row>
    <row r="39">
      <c r="A39" s="12" t="inlineStr">
        <is>
          <t>• 同尾限制：最多1组同尾（如03,13）</t>
        </is>
      </c>
    </row>
    <row r="41">
      <c r="A41" s="11" t="inlineStr">
        <is>
          <t>模板B（20%使用频率）</t>
        </is>
      </c>
    </row>
    <row r="42">
      <c r="A42" s="12" t="inlineStr">
        <is>
          <t>• 奇偶比例：2奇 + 4偶</t>
        </is>
      </c>
    </row>
    <row r="43">
      <c r="A43" s="12" t="inlineStr">
        <is>
          <t>• 大小比例：2小（1-16）+ 4大（17-33）</t>
        </is>
      </c>
    </row>
    <row r="44">
      <c r="A44" s="12" t="inlineStr">
        <is>
          <t>• 连号限制：最多1组连号</t>
        </is>
      </c>
    </row>
    <row r="45">
      <c r="A45" s="12" t="inlineStr">
        <is>
          <t>• 同尾限制：最多2组同尾</t>
        </is>
      </c>
    </row>
    <row r="48">
      <c r="A48" s="3" t="inlineStr">
        <is>
          <t>⚠️ 重要注意事项</t>
        </is>
      </c>
    </row>
    <row r="50">
      <c r="A50" s="13" t="inlineStr">
        <is>
          <t>1. 首次使用必须启用宏，否则自动化功能无法使用</t>
        </is>
      </c>
    </row>
    <row r="51">
      <c r="A51" s="13" t="inlineStr">
        <is>
          <t>2. 必须输入完整30期数据才能生成准确的24码区间</t>
        </is>
      </c>
    </row>
    <row r="52">
      <c r="A52" s="13" t="inlineStr">
        <is>
          <t>3. 每次新增数据后需要重新运行【生成投注方案】宏</t>
        </is>
      </c>
    </row>
    <row r="53">
      <c r="A53" s="13" t="inlineStr">
        <is>
          <t>4. 开奖号码录入后运行【判断中奖】宏来更新中奖记录</t>
        </is>
      </c>
    </row>
    <row r="54">
      <c r="A54" s="13" t="inlineStr">
        <is>
          <t>5. VBA代码仅供学习参考，投注方案不保证中奖</t>
        </is>
      </c>
    </row>
    <row r="55">
      <c r="A55" s="13" t="inlineStr">
        <is>
          <t>6. 理性投注，不要沉迷，量力而行</t>
        </is>
      </c>
    </row>
    <row r="58">
      <c r="A58" s="14" t="inlineStr">
        <is>
          <t>🔧 如何导入VBA代码</t>
        </is>
      </c>
    </row>
    <row r="60">
      <c r="A60" s="12" t="inlineStr">
        <is>
          <t>1. 按 Alt+F11 打开VBA编辑器</t>
        </is>
      </c>
    </row>
    <row r="61">
      <c r="A61" s="12" t="inlineStr">
        <is>
          <t>2. 在左侧【工程】窗口找到本工作簿</t>
        </is>
      </c>
    </row>
    <row r="62">
      <c r="A62" s="12" t="inlineStr">
        <is>
          <t>3. 右键点击工作簿名称 → 插入 → 模块</t>
        </is>
      </c>
    </row>
    <row r="63">
      <c r="A63" s="12" t="inlineStr">
        <is>
          <t>4. 将VBA代码（见下方）复制粘贴到模块中</t>
        </is>
      </c>
    </row>
    <row r="64">
      <c r="A64" s="12" t="inlineStr">
        <is>
          <t>5. 保存并关闭VBA编辑器</t>
        </is>
      </c>
    </row>
    <row r="65">
      <c r="A65" s="12" t="inlineStr">
        <is>
          <t>6. 返回Excel，即可在【宏】列表中看到可用的宏</t>
        </is>
      </c>
    </row>
    <row r="68">
      <c r="A68" s="15" t="inlineStr">
        <is>
          <t>📄 VBA代码已自动生成在项目文件夹中：</t>
        </is>
      </c>
    </row>
    <row r="69">
      <c r="A69" s="16" t="inlineStr">
        <is>
          <t>lottery_vba_code.txt - 完整的VBA代码</t>
        </is>
      </c>
    </row>
  </sheetData>
  <mergeCells count="48">
    <mergeCell ref="A14:G14"/>
    <mergeCell ref="A8:G8"/>
    <mergeCell ref="A53:G53"/>
    <mergeCell ref="A35:G35"/>
    <mergeCell ref="A4:G4"/>
    <mergeCell ref="A62:G62"/>
    <mergeCell ref="A38:G38"/>
    <mergeCell ref="A29:G29"/>
    <mergeCell ref="A52:G52"/>
    <mergeCell ref="A43:G43"/>
    <mergeCell ref="A68:G68"/>
    <mergeCell ref="A63:G63"/>
    <mergeCell ref="A10:G10"/>
    <mergeCell ref="A28:G28"/>
    <mergeCell ref="A44:G44"/>
    <mergeCell ref="A58:G58"/>
    <mergeCell ref="C20:G20"/>
    <mergeCell ref="A9:G9"/>
    <mergeCell ref="C16:G16"/>
    <mergeCell ref="A39:G39"/>
    <mergeCell ref="A48:G48"/>
    <mergeCell ref="A30:G30"/>
    <mergeCell ref="A64:G64"/>
    <mergeCell ref="A60:G60"/>
    <mergeCell ref="C22:G22"/>
    <mergeCell ref="A11:G11"/>
    <mergeCell ref="A51:G51"/>
    <mergeCell ref="A45:G45"/>
    <mergeCell ref="A36:G36"/>
    <mergeCell ref="C21:G21"/>
    <mergeCell ref="A61:G61"/>
    <mergeCell ref="A1:G1"/>
    <mergeCell ref="A6:G6"/>
    <mergeCell ref="A69:G69"/>
    <mergeCell ref="A54:G54"/>
    <mergeCell ref="C23:G23"/>
    <mergeCell ref="A65:G65"/>
    <mergeCell ref="A41:G41"/>
    <mergeCell ref="C17:G17"/>
    <mergeCell ref="A37:G37"/>
    <mergeCell ref="A55:G55"/>
    <mergeCell ref="A50:G50"/>
    <mergeCell ref="A26:G26"/>
    <mergeCell ref="C19:G19"/>
    <mergeCell ref="A2:G2"/>
    <mergeCell ref="A33:G33"/>
    <mergeCell ref="C18:G18"/>
    <mergeCell ref="A42:G4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7" t="inlineStr">
        <is>
          <t>双色球历史数据输入表</t>
        </is>
      </c>
    </row>
    <row r="2">
      <c r="A2" s="18" t="inlineStr">
        <is>
          <t>说明：请输入最近30期开奖数据（必须完整30期），输入后运行【生成投注方案】宏</t>
        </is>
      </c>
    </row>
    <row r="4">
      <c r="A4" s="19" t="inlineStr">
        <is>
          <t>期号</t>
        </is>
      </c>
      <c r="B4" s="19" t="inlineStr">
        <is>
          <t>红球1</t>
        </is>
      </c>
      <c r="C4" s="19" t="inlineStr">
        <is>
          <t>红球2</t>
        </is>
      </c>
      <c r="D4" s="19" t="inlineStr">
        <is>
          <t>红球3</t>
        </is>
      </c>
      <c r="E4" s="19" t="inlineStr">
        <is>
          <t>红球4</t>
        </is>
      </c>
      <c r="F4" s="19" t="inlineStr">
        <is>
          <t>红球5</t>
        </is>
      </c>
      <c r="G4" s="19" t="inlineStr">
        <is>
          <t>红球6</t>
        </is>
      </c>
      <c r="H4" s="19" t="inlineStr">
        <is>
          <t>蓝球</t>
        </is>
      </c>
    </row>
    <row r="5">
      <c r="A5" s="20" t="inlineStr">
        <is>
          <t>2025001</t>
        </is>
      </c>
      <c r="B5" s="20" t="n">
        <v>2</v>
      </c>
      <c r="C5" s="20" t="n">
        <v>3</v>
      </c>
      <c r="D5" s="20" t="n">
        <v>17</v>
      </c>
      <c r="E5" s="20" t="n">
        <v>18</v>
      </c>
      <c r="F5" s="20" t="n">
        <v>22</v>
      </c>
      <c r="G5" s="20" t="n">
        <v>33</v>
      </c>
      <c r="H5" s="20" t="n">
        <v>8</v>
      </c>
    </row>
    <row r="6">
      <c r="A6" s="20" t="inlineStr">
        <is>
          <t>2025002</t>
        </is>
      </c>
      <c r="B6" s="20" t="n">
        <v>5</v>
      </c>
      <c r="C6" s="20" t="n">
        <v>8</v>
      </c>
      <c r="D6" s="20" t="n">
        <v>12</v>
      </c>
      <c r="E6" s="20" t="n">
        <v>19</v>
      </c>
      <c r="F6" s="20" t="n">
        <v>26</v>
      </c>
      <c r="G6" s="20" t="n">
        <v>30</v>
      </c>
      <c r="H6" s="20" t="n">
        <v>11</v>
      </c>
    </row>
    <row r="7">
      <c r="A7" s="20" t="inlineStr">
        <is>
          <t>2025003</t>
        </is>
      </c>
      <c r="B7" s="20" t="n">
        <v>1</v>
      </c>
      <c r="C7" s="20" t="n">
        <v>7</v>
      </c>
      <c r="D7" s="20" t="n">
        <v>14</v>
      </c>
      <c r="E7" s="20" t="n">
        <v>21</v>
      </c>
      <c r="F7" s="20" t="n">
        <v>28</v>
      </c>
      <c r="G7" s="20" t="n">
        <v>32</v>
      </c>
      <c r="H7" s="20" t="n">
        <v>6</v>
      </c>
    </row>
    <row r="8">
      <c r="A8" s="20" t="n"/>
      <c r="B8" s="20" t="n"/>
      <c r="C8" s="20" t="n"/>
      <c r="D8" s="20" t="n"/>
      <c r="E8" s="20" t="n"/>
      <c r="F8" s="20" t="n"/>
      <c r="G8" s="20" t="n"/>
      <c r="H8" s="20" t="n"/>
    </row>
    <row r="9">
      <c r="A9" s="20" t="n"/>
      <c r="B9" s="20" t="n"/>
      <c r="C9" s="20" t="n"/>
      <c r="D9" s="20" t="n"/>
      <c r="E9" s="20" t="n"/>
      <c r="F9" s="20" t="n"/>
      <c r="G9" s="20" t="n"/>
      <c r="H9" s="20" t="n"/>
    </row>
    <row r="10">
      <c r="A10" s="20" t="n"/>
      <c r="B10" s="20" t="n"/>
      <c r="C10" s="20" t="n"/>
      <c r="D10" s="20" t="n"/>
      <c r="E10" s="20" t="n"/>
      <c r="F10" s="20" t="n"/>
      <c r="G10" s="20" t="n"/>
      <c r="H10" s="20" t="n"/>
    </row>
    <row r="11">
      <c r="A11" s="20" t="n"/>
      <c r="B11" s="20" t="n"/>
      <c r="C11" s="20" t="n"/>
      <c r="D11" s="20" t="n"/>
      <c r="E11" s="20" t="n"/>
      <c r="F11" s="20" t="n"/>
      <c r="G11" s="20" t="n"/>
      <c r="H11" s="20" t="n"/>
    </row>
    <row r="12">
      <c r="A12" s="20" t="n"/>
      <c r="B12" s="20" t="n"/>
      <c r="C12" s="20" t="n"/>
      <c r="D12" s="20" t="n"/>
      <c r="E12" s="20" t="n"/>
      <c r="F12" s="20" t="n"/>
      <c r="G12" s="20" t="n"/>
      <c r="H12" s="20" t="n"/>
    </row>
    <row r="13">
      <c r="A13" s="20" t="n"/>
      <c r="B13" s="20" t="n"/>
      <c r="C13" s="20" t="n"/>
      <c r="D13" s="20" t="n"/>
      <c r="E13" s="20" t="n"/>
      <c r="F13" s="20" t="n"/>
      <c r="G13" s="20" t="n"/>
      <c r="H13" s="20" t="n"/>
    </row>
    <row r="14">
      <c r="A14" s="20" t="n"/>
      <c r="B14" s="20" t="n"/>
      <c r="C14" s="20" t="n"/>
      <c r="D14" s="20" t="n"/>
      <c r="E14" s="20" t="n"/>
      <c r="F14" s="20" t="n"/>
      <c r="G14" s="20" t="n"/>
      <c r="H14" s="20" t="n"/>
    </row>
    <row r="15">
      <c r="A15" s="20" t="n"/>
      <c r="B15" s="20" t="n"/>
      <c r="C15" s="20" t="n"/>
      <c r="D15" s="20" t="n"/>
      <c r="E15" s="20" t="n"/>
      <c r="F15" s="20" t="n"/>
      <c r="G15" s="20" t="n"/>
      <c r="H15" s="20" t="n"/>
    </row>
    <row r="16">
      <c r="A16" s="20" t="n"/>
      <c r="B16" s="20" t="n"/>
      <c r="C16" s="20" t="n"/>
      <c r="D16" s="20" t="n"/>
      <c r="E16" s="20" t="n"/>
      <c r="F16" s="20" t="n"/>
      <c r="G16" s="20" t="n"/>
      <c r="H16" s="20" t="n"/>
    </row>
    <row r="17">
      <c r="A17" s="20" t="n"/>
      <c r="B17" s="20" t="n"/>
      <c r="C17" s="20" t="n"/>
      <c r="D17" s="20" t="n"/>
      <c r="E17" s="20" t="n"/>
      <c r="F17" s="20" t="n"/>
      <c r="G17" s="20" t="n"/>
      <c r="H17" s="20" t="n"/>
    </row>
    <row r="18">
      <c r="A18" s="20" t="n"/>
      <c r="B18" s="20" t="n"/>
      <c r="C18" s="20" t="n"/>
      <c r="D18" s="20" t="n"/>
      <c r="E18" s="20" t="n"/>
      <c r="F18" s="20" t="n"/>
      <c r="G18" s="20" t="n"/>
      <c r="H18" s="20" t="n"/>
    </row>
    <row r="19">
      <c r="A19" s="20" t="n"/>
      <c r="B19" s="20" t="n"/>
      <c r="C19" s="20" t="n"/>
      <c r="D19" s="20" t="n"/>
      <c r="E19" s="20" t="n"/>
      <c r="F19" s="20" t="n"/>
      <c r="G19" s="20" t="n"/>
      <c r="H19" s="20" t="n"/>
    </row>
    <row r="20">
      <c r="A20" s="20" t="n"/>
      <c r="B20" s="20" t="n"/>
      <c r="C20" s="20" t="n"/>
      <c r="D20" s="20" t="n"/>
      <c r="E20" s="20" t="n"/>
      <c r="F20" s="20" t="n"/>
      <c r="G20" s="20" t="n"/>
      <c r="H20" s="20" t="n"/>
    </row>
    <row r="21">
      <c r="A21" s="20" t="n"/>
      <c r="B21" s="20" t="n"/>
      <c r="C21" s="20" t="n"/>
      <c r="D21" s="20" t="n"/>
      <c r="E21" s="20" t="n"/>
      <c r="F21" s="20" t="n"/>
      <c r="G21" s="20" t="n"/>
      <c r="H21" s="20" t="n"/>
    </row>
    <row r="22">
      <c r="A22" s="20" t="n"/>
      <c r="B22" s="20" t="n"/>
      <c r="C22" s="20" t="n"/>
      <c r="D22" s="20" t="n"/>
      <c r="E22" s="20" t="n"/>
      <c r="F22" s="20" t="n"/>
      <c r="G22" s="20" t="n"/>
      <c r="H22" s="20" t="n"/>
    </row>
    <row r="23">
      <c r="A23" s="20" t="n"/>
      <c r="B23" s="20" t="n"/>
      <c r="C23" s="20" t="n"/>
      <c r="D23" s="20" t="n"/>
      <c r="E23" s="20" t="n"/>
      <c r="F23" s="20" t="n"/>
      <c r="G23" s="20" t="n"/>
      <c r="H23" s="20" t="n"/>
    </row>
    <row r="24">
      <c r="A24" s="20" t="n"/>
      <c r="B24" s="20" t="n"/>
      <c r="C24" s="20" t="n"/>
      <c r="D24" s="20" t="n"/>
      <c r="E24" s="20" t="n"/>
      <c r="F24" s="20" t="n"/>
      <c r="G24" s="20" t="n"/>
      <c r="H24" s="20" t="n"/>
    </row>
    <row r="25">
      <c r="A25" s="20" t="n"/>
      <c r="B25" s="20" t="n"/>
      <c r="C25" s="20" t="n"/>
      <c r="D25" s="20" t="n"/>
      <c r="E25" s="20" t="n"/>
      <c r="F25" s="20" t="n"/>
      <c r="G25" s="20" t="n"/>
      <c r="H25" s="20" t="n"/>
    </row>
    <row r="26">
      <c r="A26" s="20" t="n"/>
      <c r="B26" s="20" t="n"/>
      <c r="C26" s="20" t="n"/>
      <c r="D26" s="20" t="n"/>
      <c r="E26" s="20" t="n"/>
      <c r="F26" s="20" t="n"/>
      <c r="G26" s="20" t="n"/>
      <c r="H26" s="20" t="n"/>
    </row>
    <row r="27">
      <c r="A27" s="20" t="n"/>
      <c r="B27" s="20" t="n"/>
      <c r="C27" s="20" t="n"/>
      <c r="D27" s="20" t="n"/>
      <c r="E27" s="20" t="n"/>
      <c r="F27" s="20" t="n"/>
      <c r="G27" s="20" t="n"/>
      <c r="H27" s="20" t="n"/>
    </row>
    <row r="28">
      <c r="A28" s="20" t="n"/>
      <c r="B28" s="20" t="n"/>
      <c r="C28" s="20" t="n"/>
      <c r="D28" s="20" t="n"/>
      <c r="E28" s="20" t="n"/>
      <c r="F28" s="20" t="n"/>
      <c r="G28" s="20" t="n"/>
      <c r="H28" s="20" t="n"/>
    </row>
    <row r="29">
      <c r="A29" s="20" t="n"/>
      <c r="B29" s="20" t="n"/>
      <c r="C29" s="20" t="n"/>
      <c r="D29" s="20" t="n"/>
      <c r="E29" s="20" t="n"/>
      <c r="F29" s="20" t="n"/>
      <c r="G29" s="20" t="n"/>
      <c r="H29" s="20" t="n"/>
    </row>
    <row r="30">
      <c r="A30" s="20" t="n"/>
      <c r="B30" s="20" t="n"/>
      <c r="C30" s="20" t="n"/>
      <c r="D30" s="20" t="n"/>
      <c r="E30" s="20" t="n"/>
      <c r="F30" s="20" t="n"/>
      <c r="G30" s="20" t="n"/>
      <c r="H30" s="20" t="n"/>
    </row>
    <row r="31">
      <c r="A31" s="20" t="n"/>
      <c r="B31" s="20" t="n"/>
      <c r="C31" s="20" t="n"/>
      <c r="D31" s="20" t="n"/>
      <c r="E31" s="20" t="n"/>
      <c r="F31" s="20" t="n"/>
      <c r="G31" s="20" t="n"/>
      <c r="H31" s="20" t="n"/>
    </row>
    <row r="32">
      <c r="A32" s="20" t="n"/>
      <c r="B32" s="20" t="n"/>
      <c r="C32" s="20" t="n"/>
      <c r="D32" s="20" t="n"/>
      <c r="E32" s="20" t="n"/>
      <c r="F32" s="20" t="n"/>
      <c r="G32" s="20" t="n"/>
      <c r="H32" s="20" t="n"/>
    </row>
    <row r="33">
      <c r="A33" s="20" t="n"/>
      <c r="B33" s="20" t="n"/>
      <c r="C33" s="20" t="n"/>
      <c r="D33" s="20" t="n"/>
      <c r="E33" s="20" t="n"/>
      <c r="F33" s="20" t="n"/>
      <c r="G33" s="20" t="n"/>
      <c r="H33" s="20" t="n"/>
    </row>
    <row r="34">
      <c r="A34" s="20" t="n"/>
      <c r="B34" s="20" t="n"/>
      <c r="C34" s="20" t="n"/>
      <c r="D34" s="20" t="n"/>
      <c r="E34" s="20" t="n"/>
      <c r="F34" s="20" t="n"/>
      <c r="G34" s="20" t="n"/>
      <c r="H34" s="20" t="n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0" customWidth="1" min="5" max="5"/>
    <col width="15" customWidth="1" min="7" max="7"/>
  </cols>
  <sheetData>
    <row r="1">
      <c r="A1" s="17" t="inlineStr">
        <is>
          <t>24码主流区间自动分析</t>
        </is>
      </c>
    </row>
    <row r="2">
      <c r="A2" s="21" t="inlineStr">
        <is>
          <t>基于最近30期数据自动计算，取出现频次最高的前24个红球号码</t>
        </is>
      </c>
    </row>
    <row r="4">
      <c r="A4" s="22" t="inlineStr">
        <is>
          <t>红球号码</t>
        </is>
      </c>
      <c r="B4" s="22" t="inlineStr">
        <is>
          <t>出现次数</t>
        </is>
      </c>
      <c r="C4" s="22" t="inlineStr">
        <is>
          <t>出现频率</t>
        </is>
      </c>
      <c r="D4" s="22" t="inlineStr">
        <is>
          <t>是否入选</t>
        </is>
      </c>
      <c r="E4" s="22" t="inlineStr">
        <is>
          <t>排名</t>
        </is>
      </c>
      <c r="G4" s="23" t="inlineStr">
        <is>
          <t>24码主流区间</t>
        </is>
      </c>
    </row>
    <row r="5">
      <c r="A5" s="20" t="inlineStr">
        <is>
          <t>01</t>
        </is>
      </c>
      <c r="B5" s="20">
        <f>COUNTIF('1-数据输入'!B5:G34,A5)</f>
        <v/>
      </c>
      <c r="C5" s="24">
        <f>B5/30</f>
        <v/>
      </c>
      <c r="D5" s="20">
        <f>IF(E5&lt;=24,"✓","")</f>
        <v/>
      </c>
      <c r="E5" s="20">
        <f>RANK(B5,B$5:B$37,0)</f>
        <v/>
      </c>
      <c r="G5" s="25">
        <f>IFERROR(INDEX(A$5:A$37,MATCH(SMALL(E$5:E$37,1),E$5:E$37,0)),"")</f>
        <v/>
      </c>
    </row>
    <row r="6">
      <c r="A6" s="20" t="inlineStr">
        <is>
          <t>02</t>
        </is>
      </c>
      <c r="B6" s="20">
        <f>COUNTIF('1-数据输入'!B5:G34,A6)</f>
        <v/>
      </c>
      <c r="C6" s="24">
        <f>B6/30</f>
        <v/>
      </c>
      <c r="D6" s="20">
        <f>IF(E6&lt;=24,"✓","")</f>
        <v/>
      </c>
      <c r="E6" s="20">
        <f>RANK(B6,B$5:B$37,0)</f>
        <v/>
      </c>
      <c r="G6" s="25">
        <f>IFERROR(INDEX(A$5:A$37,MATCH(SMALL(E$5:E$37,2),E$5:E$37,0)),"")</f>
        <v/>
      </c>
    </row>
    <row r="7">
      <c r="A7" s="20" t="inlineStr">
        <is>
          <t>03</t>
        </is>
      </c>
      <c r="B7" s="20">
        <f>COUNTIF('1-数据输入'!B5:G34,A7)</f>
        <v/>
      </c>
      <c r="C7" s="24">
        <f>B7/30</f>
        <v/>
      </c>
      <c r="D7" s="20">
        <f>IF(E7&lt;=24,"✓","")</f>
        <v/>
      </c>
      <c r="E7" s="20">
        <f>RANK(B7,B$5:B$37,0)</f>
        <v/>
      </c>
      <c r="G7" s="25">
        <f>IFERROR(INDEX(A$5:A$37,MATCH(SMALL(E$5:E$37,3),E$5:E$37,0)),"")</f>
        <v/>
      </c>
    </row>
    <row r="8">
      <c r="A8" s="20" t="inlineStr">
        <is>
          <t>04</t>
        </is>
      </c>
      <c r="B8" s="20">
        <f>COUNTIF('1-数据输入'!B5:G34,A8)</f>
        <v/>
      </c>
      <c r="C8" s="24">
        <f>B8/30</f>
        <v/>
      </c>
      <c r="D8" s="20">
        <f>IF(E8&lt;=24,"✓","")</f>
        <v/>
      </c>
      <c r="E8" s="20">
        <f>RANK(B8,B$5:B$37,0)</f>
        <v/>
      </c>
      <c r="G8" s="25">
        <f>IFERROR(INDEX(A$5:A$37,MATCH(SMALL(E$5:E$37,4),E$5:E$37,0)),"")</f>
        <v/>
      </c>
    </row>
    <row r="9">
      <c r="A9" s="20" t="inlineStr">
        <is>
          <t>05</t>
        </is>
      </c>
      <c r="B9" s="20">
        <f>COUNTIF('1-数据输入'!B5:G34,A9)</f>
        <v/>
      </c>
      <c r="C9" s="24">
        <f>B9/30</f>
        <v/>
      </c>
      <c r="D9" s="20">
        <f>IF(E9&lt;=24,"✓","")</f>
        <v/>
      </c>
      <c r="E9" s="20">
        <f>RANK(B9,B$5:B$37,0)</f>
        <v/>
      </c>
      <c r="G9" s="25">
        <f>IFERROR(INDEX(A$5:A$37,MATCH(SMALL(E$5:E$37,5),E$5:E$37,0)),"")</f>
        <v/>
      </c>
    </row>
    <row r="10">
      <c r="A10" s="20" t="inlineStr">
        <is>
          <t>06</t>
        </is>
      </c>
      <c r="B10" s="20">
        <f>COUNTIF('1-数据输入'!B5:G34,A10)</f>
        <v/>
      </c>
      <c r="C10" s="24">
        <f>B10/30</f>
        <v/>
      </c>
      <c r="D10" s="20">
        <f>IF(E10&lt;=24,"✓","")</f>
        <v/>
      </c>
      <c r="E10" s="20">
        <f>RANK(B10,B$5:B$37,0)</f>
        <v/>
      </c>
      <c r="G10" s="25">
        <f>IFERROR(INDEX(A$5:A$37,MATCH(SMALL(E$5:E$37,6),E$5:E$37,0)),"")</f>
        <v/>
      </c>
    </row>
    <row r="11">
      <c r="A11" s="20" t="inlineStr">
        <is>
          <t>07</t>
        </is>
      </c>
      <c r="B11" s="20">
        <f>COUNTIF('1-数据输入'!B5:G34,A11)</f>
        <v/>
      </c>
      <c r="C11" s="24">
        <f>B11/30</f>
        <v/>
      </c>
      <c r="D11" s="20">
        <f>IF(E11&lt;=24,"✓","")</f>
        <v/>
      </c>
      <c r="E11" s="20">
        <f>RANK(B11,B$5:B$37,0)</f>
        <v/>
      </c>
      <c r="G11" s="25">
        <f>IFERROR(INDEX(A$5:A$37,MATCH(SMALL(E$5:E$37,7),E$5:E$37,0)),"")</f>
        <v/>
      </c>
    </row>
    <row r="12">
      <c r="A12" s="20" t="inlineStr">
        <is>
          <t>08</t>
        </is>
      </c>
      <c r="B12" s="20">
        <f>COUNTIF('1-数据输入'!B5:G34,A12)</f>
        <v/>
      </c>
      <c r="C12" s="24">
        <f>B12/30</f>
        <v/>
      </c>
      <c r="D12" s="20">
        <f>IF(E12&lt;=24,"✓","")</f>
        <v/>
      </c>
      <c r="E12" s="20">
        <f>RANK(B12,B$5:B$37,0)</f>
        <v/>
      </c>
      <c r="G12" s="25">
        <f>IFERROR(INDEX(A$5:A$37,MATCH(SMALL(E$5:E$37,8),E$5:E$37,0)),"")</f>
        <v/>
      </c>
    </row>
    <row r="13">
      <c r="A13" s="20" t="inlineStr">
        <is>
          <t>09</t>
        </is>
      </c>
      <c r="B13" s="20">
        <f>COUNTIF('1-数据输入'!B5:G34,A13)</f>
        <v/>
      </c>
      <c r="C13" s="24">
        <f>B13/30</f>
        <v/>
      </c>
      <c r="D13" s="20">
        <f>IF(E13&lt;=24,"✓","")</f>
        <v/>
      </c>
      <c r="E13" s="20">
        <f>RANK(B13,B$5:B$37,0)</f>
        <v/>
      </c>
      <c r="G13" s="25">
        <f>IFERROR(INDEX(A$5:A$37,MATCH(SMALL(E$5:E$37,9),E$5:E$37,0)),"")</f>
        <v/>
      </c>
    </row>
    <row r="14">
      <c r="A14" s="20" t="inlineStr">
        <is>
          <t>10</t>
        </is>
      </c>
      <c r="B14" s="20">
        <f>COUNTIF('1-数据输入'!B5:G34,A14)</f>
        <v/>
      </c>
      <c r="C14" s="24">
        <f>B14/30</f>
        <v/>
      </c>
      <c r="D14" s="20">
        <f>IF(E14&lt;=24,"✓","")</f>
        <v/>
      </c>
      <c r="E14" s="20">
        <f>RANK(B14,B$5:B$37,0)</f>
        <v/>
      </c>
      <c r="G14" s="25">
        <f>IFERROR(INDEX(A$5:A$37,MATCH(SMALL(E$5:E$37,10),E$5:E$37,0)),"")</f>
        <v/>
      </c>
    </row>
    <row r="15">
      <c r="A15" s="20" t="inlineStr">
        <is>
          <t>11</t>
        </is>
      </c>
      <c r="B15" s="20">
        <f>COUNTIF('1-数据输入'!B5:G34,A15)</f>
        <v/>
      </c>
      <c r="C15" s="24">
        <f>B15/30</f>
        <v/>
      </c>
      <c r="D15" s="20">
        <f>IF(E15&lt;=24,"✓","")</f>
        <v/>
      </c>
      <c r="E15" s="20">
        <f>RANK(B15,B$5:B$37,0)</f>
        <v/>
      </c>
      <c r="G15" s="25">
        <f>IFERROR(INDEX(A$5:A$37,MATCH(SMALL(E$5:E$37,11),E$5:E$37,0)),"")</f>
        <v/>
      </c>
    </row>
    <row r="16">
      <c r="A16" s="20" t="inlineStr">
        <is>
          <t>12</t>
        </is>
      </c>
      <c r="B16" s="20">
        <f>COUNTIF('1-数据输入'!B5:G34,A16)</f>
        <v/>
      </c>
      <c r="C16" s="24">
        <f>B16/30</f>
        <v/>
      </c>
      <c r="D16" s="20">
        <f>IF(E16&lt;=24,"✓","")</f>
        <v/>
      </c>
      <c r="E16" s="20">
        <f>RANK(B16,B$5:B$37,0)</f>
        <v/>
      </c>
      <c r="G16" s="25">
        <f>IFERROR(INDEX(A$5:A$37,MATCH(SMALL(E$5:E$37,12),E$5:E$37,0)),"")</f>
        <v/>
      </c>
    </row>
    <row r="17">
      <c r="A17" s="20" t="inlineStr">
        <is>
          <t>13</t>
        </is>
      </c>
      <c r="B17" s="20">
        <f>COUNTIF('1-数据输入'!B5:G34,A17)</f>
        <v/>
      </c>
      <c r="C17" s="24">
        <f>B17/30</f>
        <v/>
      </c>
      <c r="D17" s="20">
        <f>IF(E17&lt;=24,"✓","")</f>
        <v/>
      </c>
      <c r="E17" s="20">
        <f>RANK(B17,B$5:B$37,0)</f>
        <v/>
      </c>
      <c r="G17" s="25">
        <f>IFERROR(INDEX(A$5:A$37,MATCH(SMALL(E$5:E$37,13),E$5:E$37,0)),"")</f>
        <v/>
      </c>
    </row>
    <row r="18">
      <c r="A18" s="20" t="inlineStr">
        <is>
          <t>14</t>
        </is>
      </c>
      <c r="B18" s="20">
        <f>COUNTIF('1-数据输入'!B5:G34,A18)</f>
        <v/>
      </c>
      <c r="C18" s="24">
        <f>B18/30</f>
        <v/>
      </c>
      <c r="D18" s="20">
        <f>IF(E18&lt;=24,"✓","")</f>
        <v/>
      </c>
      <c r="E18" s="20">
        <f>RANK(B18,B$5:B$37,0)</f>
        <v/>
      </c>
      <c r="G18" s="25">
        <f>IFERROR(INDEX(A$5:A$37,MATCH(SMALL(E$5:E$37,14),E$5:E$37,0)),"")</f>
        <v/>
      </c>
    </row>
    <row r="19">
      <c r="A19" s="20" t="inlineStr">
        <is>
          <t>15</t>
        </is>
      </c>
      <c r="B19" s="20">
        <f>COUNTIF('1-数据输入'!B5:G34,A19)</f>
        <v/>
      </c>
      <c r="C19" s="24">
        <f>B19/30</f>
        <v/>
      </c>
      <c r="D19" s="20">
        <f>IF(E19&lt;=24,"✓","")</f>
        <v/>
      </c>
      <c r="E19" s="20">
        <f>RANK(B19,B$5:B$37,0)</f>
        <v/>
      </c>
      <c r="G19" s="25">
        <f>IFERROR(INDEX(A$5:A$37,MATCH(SMALL(E$5:E$37,15),E$5:E$37,0)),"")</f>
        <v/>
      </c>
    </row>
    <row r="20">
      <c r="A20" s="20" t="inlineStr">
        <is>
          <t>16</t>
        </is>
      </c>
      <c r="B20" s="20">
        <f>COUNTIF('1-数据输入'!B5:G34,A20)</f>
        <v/>
      </c>
      <c r="C20" s="24">
        <f>B20/30</f>
        <v/>
      </c>
      <c r="D20" s="20">
        <f>IF(E20&lt;=24,"✓","")</f>
        <v/>
      </c>
      <c r="E20" s="20">
        <f>RANK(B20,B$5:B$37,0)</f>
        <v/>
      </c>
      <c r="G20" s="25">
        <f>IFERROR(INDEX(A$5:A$37,MATCH(SMALL(E$5:E$37,16),E$5:E$37,0)),"")</f>
        <v/>
      </c>
    </row>
    <row r="21">
      <c r="A21" s="20" t="inlineStr">
        <is>
          <t>17</t>
        </is>
      </c>
      <c r="B21" s="20">
        <f>COUNTIF('1-数据输入'!B5:G34,A21)</f>
        <v/>
      </c>
      <c r="C21" s="24">
        <f>B21/30</f>
        <v/>
      </c>
      <c r="D21" s="20">
        <f>IF(E21&lt;=24,"✓","")</f>
        <v/>
      </c>
      <c r="E21" s="20">
        <f>RANK(B21,B$5:B$37,0)</f>
        <v/>
      </c>
      <c r="G21" s="25">
        <f>IFERROR(INDEX(A$5:A$37,MATCH(SMALL(E$5:E$37,17),E$5:E$37,0)),"")</f>
        <v/>
      </c>
    </row>
    <row r="22">
      <c r="A22" s="20" t="inlineStr">
        <is>
          <t>18</t>
        </is>
      </c>
      <c r="B22" s="20">
        <f>COUNTIF('1-数据输入'!B5:G34,A22)</f>
        <v/>
      </c>
      <c r="C22" s="24">
        <f>B22/30</f>
        <v/>
      </c>
      <c r="D22" s="20">
        <f>IF(E22&lt;=24,"✓","")</f>
        <v/>
      </c>
      <c r="E22" s="20">
        <f>RANK(B22,B$5:B$37,0)</f>
        <v/>
      </c>
      <c r="G22" s="25">
        <f>IFERROR(INDEX(A$5:A$37,MATCH(SMALL(E$5:E$37,18),E$5:E$37,0)),"")</f>
        <v/>
      </c>
    </row>
    <row r="23">
      <c r="A23" s="20" t="inlineStr">
        <is>
          <t>19</t>
        </is>
      </c>
      <c r="B23" s="20">
        <f>COUNTIF('1-数据输入'!B5:G34,A23)</f>
        <v/>
      </c>
      <c r="C23" s="24">
        <f>B23/30</f>
        <v/>
      </c>
      <c r="D23" s="20">
        <f>IF(E23&lt;=24,"✓","")</f>
        <v/>
      </c>
      <c r="E23" s="20">
        <f>RANK(B23,B$5:B$37,0)</f>
        <v/>
      </c>
      <c r="G23" s="25">
        <f>IFERROR(INDEX(A$5:A$37,MATCH(SMALL(E$5:E$37,19),E$5:E$37,0)),"")</f>
        <v/>
      </c>
    </row>
    <row r="24">
      <c r="A24" s="20" t="inlineStr">
        <is>
          <t>20</t>
        </is>
      </c>
      <c r="B24" s="20">
        <f>COUNTIF('1-数据输入'!B5:G34,A24)</f>
        <v/>
      </c>
      <c r="C24" s="24">
        <f>B24/30</f>
        <v/>
      </c>
      <c r="D24" s="20">
        <f>IF(E24&lt;=24,"✓","")</f>
        <v/>
      </c>
      <c r="E24" s="20">
        <f>RANK(B24,B$5:B$37,0)</f>
        <v/>
      </c>
      <c r="G24" s="25">
        <f>IFERROR(INDEX(A$5:A$37,MATCH(SMALL(E$5:E$37,20),E$5:E$37,0)),"")</f>
        <v/>
      </c>
    </row>
    <row r="25">
      <c r="A25" s="20" t="inlineStr">
        <is>
          <t>21</t>
        </is>
      </c>
      <c r="B25" s="20">
        <f>COUNTIF('1-数据输入'!B5:G34,A25)</f>
        <v/>
      </c>
      <c r="C25" s="24">
        <f>B25/30</f>
        <v/>
      </c>
      <c r="D25" s="20">
        <f>IF(E25&lt;=24,"✓","")</f>
        <v/>
      </c>
      <c r="E25" s="20">
        <f>RANK(B25,B$5:B$37,0)</f>
        <v/>
      </c>
      <c r="G25" s="25">
        <f>IFERROR(INDEX(A$5:A$37,MATCH(SMALL(E$5:E$37,21),E$5:E$37,0)),"")</f>
        <v/>
      </c>
    </row>
    <row r="26">
      <c r="A26" s="20" t="inlineStr">
        <is>
          <t>22</t>
        </is>
      </c>
      <c r="B26" s="20">
        <f>COUNTIF('1-数据输入'!B5:G34,A26)</f>
        <v/>
      </c>
      <c r="C26" s="24">
        <f>B26/30</f>
        <v/>
      </c>
      <c r="D26" s="20">
        <f>IF(E26&lt;=24,"✓","")</f>
        <v/>
      </c>
      <c r="E26" s="20">
        <f>RANK(B26,B$5:B$37,0)</f>
        <v/>
      </c>
      <c r="G26" s="25">
        <f>IFERROR(INDEX(A$5:A$37,MATCH(SMALL(E$5:E$37,22),E$5:E$37,0)),"")</f>
        <v/>
      </c>
    </row>
    <row r="27">
      <c r="A27" s="20" t="inlineStr">
        <is>
          <t>23</t>
        </is>
      </c>
      <c r="B27" s="20">
        <f>COUNTIF('1-数据输入'!B5:G34,A27)</f>
        <v/>
      </c>
      <c r="C27" s="24">
        <f>B27/30</f>
        <v/>
      </c>
      <c r="D27" s="20">
        <f>IF(E27&lt;=24,"✓","")</f>
        <v/>
      </c>
      <c r="E27" s="20">
        <f>RANK(B27,B$5:B$37,0)</f>
        <v/>
      </c>
      <c r="G27" s="25">
        <f>IFERROR(INDEX(A$5:A$37,MATCH(SMALL(E$5:E$37,23),E$5:E$37,0)),"")</f>
        <v/>
      </c>
    </row>
    <row r="28">
      <c r="A28" s="20" t="inlineStr">
        <is>
          <t>24</t>
        </is>
      </c>
      <c r="B28" s="20">
        <f>COUNTIF('1-数据输入'!B5:G34,A28)</f>
        <v/>
      </c>
      <c r="C28" s="24">
        <f>B28/30</f>
        <v/>
      </c>
      <c r="D28" s="20">
        <f>IF(E28&lt;=24,"✓","")</f>
        <v/>
      </c>
      <c r="E28" s="20">
        <f>RANK(B28,B$5:B$37,0)</f>
        <v/>
      </c>
      <c r="G28" s="25">
        <f>IFERROR(INDEX(A$5:A$37,MATCH(SMALL(E$5:E$37,24),E$5:E$37,0)),"")</f>
        <v/>
      </c>
    </row>
    <row r="29">
      <c r="A29" s="20" t="inlineStr">
        <is>
          <t>25</t>
        </is>
      </c>
      <c r="B29" s="20">
        <f>COUNTIF('1-数据输入'!B5:G34,A29)</f>
        <v/>
      </c>
      <c r="C29" s="24">
        <f>B29/30</f>
        <v/>
      </c>
      <c r="D29" s="20">
        <f>IF(E29&lt;=24,"✓","")</f>
        <v/>
      </c>
      <c r="E29" s="20">
        <f>RANK(B29,B$5:B$37,0)</f>
        <v/>
      </c>
    </row>
    <row r="30">
      <c r="A30" s="20" t="inlineStr">
        <is>
          <t>26</t>
        </is>
      </c>
      <c r="B30" s="20">
        <f>COUNTIF('1-数据输入'!B5:G34,A30)</f>
        <v/>
      </c>
      <c r="C30" s="24">
        <f>B30/30</f>
        <v/>
      </c>
      <c r="D30" s="20">
        <f>IF(E30&lt;=24,"✓","")</f>
        <v/>
      </c>
      <c r="E30" s="20">
        <f>RANK(B30,B$5:B$37,0)</f>
        <v/>
      </c>
    </row>
    <row r="31">
      <c r="A31" s="20" t="inlineStr">
        <is>
          <t>27</t>
        </is>
      </c>
      <c r="B31" s="20">
        <f>COUNTIF('1-数据输入'!B5:G34,A31)</f>
        <v/>
      </c>
      <c r="C31" s="24">
        <f>B31/30</f>
        <v/>
      </c>
      <c r="D31" s="20">
        <f>IF(E31&lt;=24,"✓","")</f>
        <v/>
      </c>
      <c r="E31" s="20">
        <f>RANK(B31,B$5:B$37,0)</f>
        <v/>
      </c>
    </row>
    <row r="32">
      <c r="A32" s="20" t="inlineStr">
        <is>
          <t>28</t>
        </is>
      </c>
      <c r="B32" s="20">
        <f>COUNTIF('1-数据输入'!B5:G34,A32)</f>
        <v/>
      </c>
      <c r="C32" s="24">
        <f>B32/30</f>
        <v/>
      </c>
      <c r="D32" s="20">
        <f>IF(E32&lt;=24,"✓","")</f>
        <v/>
      </c>
      <c r="E32" s="20">
        <f>RANK(B32,B$5:B$37,0)</f>
        <v/>
      </c>
    </row>
    <row r="33">
      <c r="A33" s="20" t="inlineStr">
        <is>
          <t>29</t>
        </is>
      </c>
      <c r="B33" s="20">
        <f>COUNTIF('1-数据输入'!B5:G34,A33)</f>
        <v/>
      </c>
      <c r="C33" s="24">
        <f>B33/30</f>
        <v/>
      </c>
      <c r="D33" s="20">
        <f>IF(E33&lt;=24,"✓","")</f>
        <v/>
      </c>
      <c r="E33" s="20">
        <f>RANK(B33,B$5:B$37,0)</f>
        <v/>
      </c>
    </row>
    <row r="34">
      <c r="A34" s="20" t="inlineStr">
        <is>
          <t>30</t>
        </is>
      </c>
      <c r="B34" s="20">
        <f>COUNTIF('1-数据输入'!B5:G34,A34)</f>
        <v/>
      </c>
      <c r="C34" s="24">
        <f>B34/30</f>
        <v/>
      </c>
      <c r="D34" s="20">
        <f>IF(E34&lt;=24,"✓","")</f>
        <v/>
      </c>
      <c r="E34" s="20">
        <f>RANK(B34,B$5:B$37,0)</f>
        <v/>
      </c>
    </row>
    <row r="35">
      <c r="A35" s="20" t="inlineStr">
        <is>
          <t>31</t>
        </is>
      </c>
      <c r="B35" s="20">
        <f>COUNTIF('1-数据输入'!B5:G34,A35)</f>
        <v/>
      </c>
      <c r="C35" s="24">
        <f>B35/30</f>
        <v/>
      </c>
      <c r="D35" s="20">
        <f>IF(E35&lt;=24,"✓","")</f>
        <v/>
      </c>
      <c r="E35" s="20">
        <f>RANK(B35,B$5:B$37,0)</f>
        <v/>
      </c>
    </row>
    <row r="36">
      <c r="A36" s="20" t="inlineStr">
        <is>
          <t>32</t>
        </is>
      </c>
      <c r="B36" s="20">
        <f>COUNTIF('1-数据输入'!B5:G34,A36)</f>
        <v/>
      </c>
      <c r="C36" s="24">
        <f>B36/30</f>
        <v/>
      </c>
      <c r="D36" s="20">
        <f>IF(E36&lt;=24,"✓","")</f>
        <v/>
      </c>
      <c r="E36" s="20">
        <f>RANK(B36,B$5:B$37,0)</f>
        <v/>
      </c>
    </row>
    <row r="37">
      <c r="A37" s="20" t="inlineStr">
        <is>
          <t>33</t>
        </is>
      </c>
      <c r="B37" s="20">
        <f>COUNTIF('1-数据输入'!B5:G34,A37)</f>
        <v/>
      </c>
      <c r="C37" s="24">
        <f>B37/30</f>
        <v/>
      </c>
      <c r="D37" s="20">
        <f>IF(E37&lt;=24,"✓","")</f>
        <v/>
      </c>
      <c r="E37" s="20">
        <f>RANK(B37,B$5:B$37,0)</f>
        <v/>
      </c>
    </row>
  </sheetData>
  <mergeCells count="3">
    <mergeCell ref="A2:E2"/>
    <mergeCell ref="A1:E1"/>
    <mergeCell ref="G4:K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</cols>
  <sheetData>
    <row r="1">
      <c r="A1" s="26" t="inlineStr">
        <is>
          <t>自动生成投注方案（VBA自动化）</t>
        </is>
      </c>
    </row>
    <row r="2">
      <c r="A2" s="27" t="inlineStr">
        <is>
          <t>运行【生成投注方案】宏来自动生成投注号码</t>
        </is>
      </c>
    </row>
    <row r="4">
      <c r="A4" s="28" t="inlineStr">
        <is>
          <t>模板A（80%）：</t>
        </is>
      </c>
      <c r="B4" s="13" t="inlineStr">
        <is>
          <t>3奇3偶 + 3小3大 + 连号≤1组 + 同尾≤1组</t>
        </is>
      </c>
    </row>
    <row r="5">
      <c r="A5" s="28" t="inlineStr">
        <is>
          <t>模板B（20%）：</t>
        </is>
      </c>
      <c r="B5" s="13" t="inlineStr">
        <is>
          <t>2奇4偶 + 2小4大 + 连号≤1组 + 同尾≤2组</t>
        </is>
      </c>
    </row>
    <row r="7">
      <c r="A7" s="22" t="inlineStr">
        <is>
          <t>期号</t>
        </is>
      </c>
      <c r="B7" s="22" t="inlineStr">
        <is>
          <t>注号</t>
        </is>
      </c>
      <c r="C7" s="22" t="inlineStr">
        <is>
          <t>模板</t>
        </is>
      </c>
      <c r="D7" s="22" t="inlineStr">
        <is>
          <t>红球1</t>
        </is>
      </c>
      <c r="E7" s="22" t="inlineStr">
        <is>
          <t>红球2</t>
        </is>
      </c>
      <c r="F7" s="22" t="inlineStr">
        <is>
          <t>红球3</t>
        </is>
      </c>
      <c r="G7" s="22" t="inlineStr">
        <is>
          <t>红球4</t>
        </is>
      </c>
      <c r="H7" s="22" t="inlineStr">
        <is>
          <t>红球5</t>
        </is>
      </c>
      <c r="I7" s="22" t="inlineStr">
        <is>
          <t>红球6</t>
        </is>
      </c>
      <c r="J7" s="22" t="inlineStr">
        <is>
          <t>蓝球</t>
        </is>
      </c>
      <c r="L7" s="29" t="inlineStr">
        <is>
          <t>方案生成说明</t>
        </is>
      </c>
    </row>
    <row r="8">
      <c r="L8" s="30" t="inlineStr">
        <is>
          <t>1. 确保输入表有30期数据</t>
        </is>
      </c>
    </row>
    <row r="9">
      <c r="L9" s="30" t="inlineStr">
        <is>
          <t>2. 运行【生成投注方案】宏</t>
        </is>
      </c>
    </row>
    <row r="10">
      <c r="L10" s="30" t="inlineStr">
        <is>
          <t>3. 每期自动生成10注</t>
        </is>
      </c>
    </row>
    <row r="11">
      <c r="L11" s="30" t="inlineStr">
        <is>
          <t>4. 8注使用模板A</t>
        </is>
      </c>
    </row>
    <row r="12">
      <c r="L12" s="30" t="inlineStr">
        <is>
          <t>5. 2注使用模板B</t>
        </is>
      </c>
    </row>
    <row r="13">
      <c r="L13" s="30" t="inlineStr">
        <is>
          <t>6. 自动填充蓝球（1-16）</t>
        </is>
      </c>
    </row>
  </sheetData>
  <mergeCells count="9">
    <mergeCell ref="A1:J1"/>
    <mergeCell ref="L11:N11"/>
    <mergeCell ref="L10:N10"/>
    <mergeCell ref="L12:N12"/>
    <mergeCell ref="L13:N13"/>
    <mergeCell ref="L9:N9"/>
    <mergeCell ref="L8:N8"/>
    <mergeCell ref="A2:J2"/>
    <mergeCell ref="L7:N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>
      <c r="A1" s="17" t="inlineStr">
        <is>
          <t>开奖结果输入与中奖判断</t>
        </is>
      </c>
    </row>
    <row r="2">
      <c r="A2" s="27" t="inlineStr">
        <is>
          <t>输入开奖号码后，运行【判断中奖】宏自动判断中奖情况</t>
        </is>
      </c>
    </row>
    <row r="4">
      <c r="A4" s="22" t="inlineStr">
        <is>
          <t>期号</t>
        </is>
      </c>
      <c r="B4" s="22" t="inlineStr">
        <is>
          <t>开奖红球1</t>
        </is>
      </c>
      <c r="C4" s="22" t="inlineStr">
        <is>
          <t>红球2</t>
        </is>
      </c>
      <c r="D4" s="22" t="inlineStr">
        <is>
          <t>红球3</t>
        </is>
      </c>
      <c r="E4" s="22" t="inlineStr">
        <is>
          <t>红球4</t>
        </is>
      </c>
      <c r="F4" s="22" t="inlineStr">
        <is>
          <t>红球5</t>
        </is>
      </c>
      <c r="G4" s="22" t="inlineStr">
        <is>
          <t>红球6</t>
        </is>
      </c>
      <c r="H4" s="22" t="inlineStr">
        <is>
          <t>开奖蓝球</t>
        </is>
      </c>
      <c r="I4" s="22" t="inlineStr">
        <is>
          <t>录入时间</t>
        </is>
      </c>
    </row>
    <row r="5">
      <c r="A5" s="20">
        <f>'1-数据输入'!A5</f>
        <v/>
      </c>
      <c r="B5" s="20" t="n"/>
      <c r="C5" s="20" t="n"/>
      <c r="D5" s="20" t="n"/>
      <c r="E5" s="20" t="n"/>
      <c r="F5" s="20" t="n"/>
      <c r="G5" s="20" t="n"/>
      <c r="H5" s="20" t="n"/>
      <c r="I5" s="20" t="n"/>
    </row>
    <row r="6">
      <c r="A6" s="20">
        <f>'1-数据输入'!A6</f>
        <v/>
      </c>
      <c r="B6" s="20" t="n"/>
      <c r="C6" s="20" t="n"/>
      <c r="D6" s="20" t="n"/>
      <c r="E6" s="20" t="n"/>
      <c r="F6" s="20" t="n"/>
      <c r="G6" s="20" t="n"/>
      <c r="H6" s="20" t="n"/>
      <c r="I6" s="20" t="n"/>
    </row>
    <row r="7">
      <c r="A7" s="20">
        <f>'1-数据输入'!A7</f>
        <v/>
      </c>
      <c r="B7" s="20" t="n"/>
      <c r="C7" s="20" t="n"/>
      <c r="D7" s="20" t="n"/>
      <c r="E7" s="20" t="n"/>
      <c r="F7" s="20" t="n"/>
      <c r="G7" s="20" t="n"/>
      <c r="H7" s="20" t="n"/>
      <c r="I7" s="20" t="n"/>
    </row>
    <row r="8">
      <c r="A8" s="20">
        <f>'1-数据输入'!A8</f>
        <v/>
      </c>
      <c r="B8" s="20" t="n"/>
      <c r="C8" s="20" t="n"/>
      <c r="D8" s="20" t="n"/>
      <c r="E8" s="20" t="n"/>
      <c r="F8" s="20" t="n"/>
      <c r="G8" s="20" t="n"/>
      <c r="H8" s="20" t="n"/>
      <c r="I8" s="20" t="n"/>
    </row>
    <row r="9">
      <c r="A9" s="20">
        <f>'1-数据输入'!A9</f>
        <v/>
      </c>
      <c r="B9" s="20" t="n"/>
      <c r="C9" s="20" t="n"/>
      <c r="D9" s="20" t="n"/>
      <c r="E9" s="20" t="n"/>
      <c r="F9" s="20" t="n"/>
      <c r="G9" s="20" t="n"/>
      <c r="H9" s="20" t="n"/>
      <c r="I9" s="20" t="n"/>
    </row>
    <row r="10">
      <c r="A10" s="20">
        <f>'1-数据输入'!A10</f>
        <v/>
      </c>
      <c r="B10" s="20" t="n"/>
      <c r="C10" s="20" t="n"/>
      <c r="D10" s="20" t="n"/>
      <c r="E10" s="20" t="n"/>
      <c r="F10" s="20" t="n"/>
      <c r="G10" s="20" t="n"/>
      <c r="H10" s="20" t="n"/>
      <c r="I10" s="20" t="n"/>
    </row>
    <row r="11">
      <c r="A11" s="20">
        <f>'1-数据输入'!A11</f>
        <v/>
      </c>
      <c r="B11" s="20" t="n"/>
      <c r="C11" s="20" t="n"/>
      <c r="D11" s="20" t="n"/>
      <c r="E11" s="20" t="n"/>
      <c r="F11" s="20" t="n"/>
      <c r="G11" s="20" t="n"/>
      <c r="H11" s="20" t="n"/>
      <c r="I11" s="20" t="n"/>
    </row>
    <row r="12">
      <c r="A12" s="20">
        <f>'1-数据输入'!A12</f>
        <v/>
      </c>
      <c r="B12" s="20" t="n"/>
      <c r="C12" s="20" t="n"/>
      <c r="D12" s="20" t="n"/>
      <c r="E12" s="20" t="n"/>
      <c r="F12" s="20" t="n"/>
      <c r="G12" s="20" t="n"/>
      <c r="H12" s="20" t="n"/>
      <c r="I12" s="20" t="n"/>
    </row>
    <row r="13">
      <c r="A13" s="20">
        <f>'1-数据输入'!A13</f>
        <v/>
      </c>
      <c r="B13" s="20" t="n"/>
      <c r="C13" s="20" t="n"/>
      <c r="D13" s="20" t="n"/>
      <c r="E13" s="20" t="n"/>
      <c r="F13" s="20" t="n"/>
      <c r="G13" s="20" t="n"/>
      <c r="H13" s="20" t="n"/>
      <c r="I13" s="20" t="n"/>
    </row>
    <row r="14">
      <c r="A14" s="20">
        <f>'1-数据输入'!A14</f>
        <v/>
      </c>
      <c r="B14" s="20" t="n"/>
      <c r="C14" s="20" t="n"/>
      <c r="D14" s="20" t="n"/>
      <c r="E14" s="20" t="n"/>
      <c r="F14" s="20" t="n"/>
      <c r="G14" s="20" t="n"/>
      <c r="H14" s="20" t="n"/>
      <c r="I14" s="20" t="n"/>
    </row>
    <row r="15">
      <c r="A15" s="20">
        <f>'1-数据输入'!A15</f>
        <v/>
      </c>
      <c r="B15" s="20" t="n"/>
      <c r="C15" s="20" t="n"/>
      <c r="D15" s="20" t="n"/>
      <c r="E15" s="20" t="n"/>
      <c r="F15" s="20" t="n"/>
      <c r="G15" s="20" t="n"/>
      <c r="H15" s="20" t="n"/>
      <c r="I15" s="20" t="n"/>
    </row>
    <row r="16">
      <c r="A16" s="20">
        <f>'1-数据输入'!A16</f>
        <v/>
      </c>
      <c r="B16" s="20" t="n"/>
      <c r="C16" s="20" t="n"/>
      <c r="D16" s="20" t="n"/>
      <c r="E16" s="20" t="n"/>
      <c r="F16" s="20" t="n"/>
      <c r="G16" s="20" t="n"/>
      <c r="H16" s="20" t="n"/>
      <c r="I16" s="20" t="n"/>
    </row>
    <row r="17">
      <c r="A17" s="20">
        <f>'1-数据输入'!A17</f>
        <v/>
      </c>
      <c r="B17" s="20" t="n"/>
      <c r="C17" s="20" t="n"/>
      <c r="D17" s="20" t="n"/>
      <c r="E17" s="20" t="n"/>
      <c r="F17" s="20" t="n"/>
      <c r="G17" s="20" t="n"/>
      <c r="H17" s="20" t="n"/>
      <c r="I17" s="20" t="n"/>
    </row>
    <row r="18">
      <c r="A18" s="20">
        <f>'1-数据输入'!A18</f>
        <v/>
      </c>
      <c r="B18" s="20" t="n"/>
      <c r="C18" s="20" t="n"/>
      <c r="D18" s="20" t="n"/>
      <c r="E18" s="20" t="n"/>
      <c r="F18" s="20" t="n"/>
      <c r="G18" s="20" t="n"/>
      <c r="H18" s="20" t="n"/>
      <c r="I18" s="20" t="n"/>
    </row>
    <row r="19">
      <c r="A19" s="20">
        <f>'1-数据输入'!A19</f>
        <v/>
      </c>
      <c r="B19" s="20" t="n"/>
      <c r="C19" s="20" t="n"/>
      <c r="D19" s="20" t="n"/>
      <c r="E19" s="20" t="n"/>
      <c r="F19" s="20" t="n"/>
      <c r="G19" s="20" t="n"/>
      <c r="H19" s="20" t="n"/>
      <c r="I19" s="20" t="n"/>
    </row>
    <row r="20">
      <c r="A20" s="20">
        <f>'1-数据输入'!A20</f>
        <v/>
      </c>
      <c r="B20" s="20" t="n"/>
      <c r="C20" s="20" t="n"/>
      <c r="D20" s="20" t="n"/>
      <c r="E20" s="20" t="n"/>
      <c r="F20" s="20" t="n"/>
      <c r="G20" s="20" t="n"/>
      <c r="H20" s="20" t="n"/>
      <c r="I20" s="20" t="n"/>
    </row>
    <row r="21">
      <c r="A21" s="20">
        <f>'1-数据输入'!A21</f>
        <v/>
      </c>
      <c r="B21" s="20" t="n"/>
      <c r="C21" s="20" t="n"/>
      <c r="D21" s="20" t="n"/>
      <c r="E21" s="20" t="n"/>
      <c r="F21" s="20" t="n"/>
      <c r="G21" s="20" t="n"/>
      <c r="H21" s="20" t="n"/>
      <c r="I21" s="20" t="n"/>
    </row>
    <row r="22">
      <c r="A22" s="20">
        <f>'1-数据输入'!A22</f>
        <v/>
      </c>
      <c r="B22" s="20" t="n"/>
      <c r="C22" s="20" t="n"/>
      <c r="D22" s="20" t="n"/>
      <c r="E22" s="20" t="n"/>
      <c r="F22" s="20" t="n"/>
      <c r="G22" s="20" t="n"/>
      <c r="H22" s="20" t="n"/>
      <c r="I22" s="20" t="n"/>
    </row>
    <row r="23">
      <c r="A23" s="20">
        <f>'1-数据输入'!A23</f>
        <v/>
      </c>
      <c r="B23" s="20" t="n"/>
      <c r="C23" s="20" t="n"/>
      <c r="D23" s="20" t="n"/>
      <c r="E23" s="20" t="n"/>
      <c r="F23" s="20" t="n"/>
      <c r="G23" s="20" t="n"/>
      <c r="H23" s="20" t="n"/>
      <c r="I23" s="20" t="n"/>
    </row>
    <row r="24">
      <c r="A24" s="20">
        <f>'1-数据输入'!A24</f>
        <v/>
      </c>
      <c r="B24" s="20" t="n"/>
      <c r="C24" s="20" t="n"/>
      <c r="D24" s="20" t="n"/>
      <c r="E24" s="20" t="n"/>
      <c r="F24" s="20" t="n"/>
      <c r="G24" s="20" t="n"/>
      <c r="H24" s="20" t="n"/>
      <c r="I24" s="20" t="n"/>
    </row>
    <row r="25">
      <c r="A25" s="20">
        <f>'1-数据输入'!A25</f>
        <v/>
      </c>
      <c r="B25" s="20" t="n"/>
      <c r="C25" s="20" t="n"/>
      <c r="D25" s="20" t="n"/>
      <c r="E25" s="20" t="n"/>
      <c r="F25" s="20" t="n"/>
      <c r="G25" s="20" t="n"/>
      <c r="H25" s="20" t="n"/>
      <c r="I25" s="20" t="n"/>
    </row>
    <row r="26">
      <c r="A26" s="20">
        <f>'1-数据输入'!A26</f>
        <v/>
      </c>
      <c r="B26" s="20" t="n"/>
      <c r="C26" s="20" t="n"/>
      <c r="D26" s="20" t="n"/>
      <c r="E26" s="20" t="n"/>
      <c r="F26" s="20" t="n"/>
      <c r="G26" s="20" t="n"/>
      <c r="H26" s="20" t="n"/>
      <c r="I26" s="20" t="n"/>
    </row>
    <row r="27">
      <c r="A27" s="20">
        <f>'1-数据输入'!A27</f>
        <v/>
      </c>
      <c r="B27" s="20" t="n"/>
      <c r="C27" s="20" t="n"/>
      <c r="D27" s="20" t="n"/>
      <c r="E27" s="20" t="n"/>
      <c r="F27" s="20" t="n"/>
      <c r="G27" s="20" t="n"/>
      <c r="H27" s="20" t="n"/>
      <c r="I27" s="20" t="n"/>
    </row>
    <row r="28">
      <c r="A28" s="20">
        <f>'1-数据输入'!A28</f>
        <v/>
      </c>
      <c r="B28" s="20" t="n"/>
      <c r="C28" s="20" t="n"/>
      <c r="D28" s="20" t="n"/>
      <c r="E28" s="20" t="n"/>
      <c r="F28" s="20" t="n"/>
      <c r="G28" s="20" t="n"/>
      <c r="H28" s="20" t="n"/>
      <c r="I28" s="20" t="n"/>
    </row>
    <row r="29">
      <c r="A29" s="20">
        <f>'1-数据输入'!A29</f>
        <v/>
      </c>
      <c r="B29" s="20" t="n"/>
      <c r="C29" s="20" t="n"/>
      <c r="D29" s="20" t="n"/>
      <c r="E29" s="20" t="n"/>
      <c r="F29" s="20" t="n"/>
      <c r="G29" s="20" t="n"/>
      <c r="H29" s="20" t="n"/>
      <c r="I29" s="20" t="n"/>
    </row>
    <row r="30">
      <c r="A30" s="20">
        <f>'1-数据输入'!A30</f>
        <v/>
      </c>
      <c r="B30" s="20" t="n"/>
      <c r="C30" s="20" t="n"/>
      <c r="D30" s="20" t="n"/>
      <c r="E30" s="20" t="n"/>
      <c r="F30" s="20" t="n"/>
      <c r="G30" s="20" t="n"/>
      <c r="H30" s="20" t="n"/>
      <c r="I30" s="20" t="n"/>
    </row>
    <row r="31">
      <c r="A31" s="20">
        <f>'1-数据输入'!A31</f>
        <v/>
      </c>
      <c r="B31" s="20" t="n"/>
      <c r="C31" s="20" t="n"/>
      <c r="D31" s="20" t="n"/>
      <c r="E31" s="20" t="n"/>
      <c r="F31" s="20" t="n"/>
      <c r="G31" s="20" t="n"/>
      <c r="H31" s="20" t="n"/>
      <c r="I31" s="20" t="n"/>
    </row>
    <row r="32">
      <c r="A32" s="20">
        <f>'1-数据输入'!A32</f>
        <v/>
      </c>
      <c r="B32" s="20" t="n"/>
      <c r="C32" s="20" t="n"/>
      <c r="D32" s="20" t="n"/>
      <c r="E32" s="20" t="n"/>
      <c r="F32" s="20" t="n"/>
      <c r="G32" s="20" t="n"/>
      <c r="H32" s="20" t="n"/>
      <c r="I32" s="20" t="n"/>
    </row>
    <row r="33">
      <c r="A33" s="20">
        <f>'1-数据输入'!A33</f>
        <v/>
      </c>
      <c r="B33" s="20" t="n"/>
      <c r="C33" s="20" t="n"/>
      <c r="D33" s="20" t="n"/>
      <c r="E33" s="20" t="n"/>
      <c r="F33" s="20" t="n"/>
      <c r="G33" s="20" t="n"/>
      <c r="H33" s="20" t="n"/>
      <c r="I33" s="20" t="n"/>
    </row>
    <row r="34">
      <c r="A34" s="20">
        <f>'1-数据输入'!A34</f>
        <v/>
      </c>
      <c r="B34" s="20" t="n"/>
      <c r="C34" s="20" t="n"/>
      <c r="D34" s="20" t="n"/>
      <c r="E34" s="20" t="n"/>
      <c r="F34" s="20" t="n"/>
      <c r="G34" s="20" t="n"/>
      <c r="H34" s="20" t="n"/>
      <c r="I34" s="20" t="n"/>
    </row>
    <row r="35">
      <c r="A35" s="20">
        <f>'1-数据输入'!A35</f>
        <v/>
      </c>
      <c r="B35" s="20" t="n"/>
      <c r="C35" s="20" t="n"/>
      <c r="D35" s="20" t="n"/>
      <c r="E35" s="20" t="n"/>
      <c r="F35" s="20" t="n"/>
      <c r="G35" s="20" t="n"/>
      <c r="H35" s="20" t="n"/>
      <c r="I35" s="20" t="n"/>
    </row>
    <row r="36">
      <c r="A36" s="20">
        <f>'1-数据输入'!A36</f>
        <v/>
      </c>
      <c r="B36" s="20" t="n"/>
      <c r="C36" s="20" t="n"/>
      <c r="D36" s="20" t="n"/>
      <c r="E36" s="20" t="n"/>
      <c r="F36" s="20" t="n"/>
      <c r="G36" s="20" t="n"/>
      <c r="H36" s="20" t="n"/>
      <c r="I36" s="20" t="n"/>
    </row>
    <row r="37">
      <c r="A37" s="20">
        <f>'1-数据输入'!A37</f>
        <v/>
      </c>
      <c r="B37" s="20" t="n"/>
      <c r="C37" s="20" t="n"/>
      <c r="D37" s="20" t="n"/>
      <c r="E37" s="20" t="n"/>
      <c r="F37" s="20" t="n"/>
      <c r="G37" s="20" t="n"/>
      <c r="H37" s="20" t="n"/>
      <c r="I37" s="20" t="n"/>
    </row>
    <row r="38">
      <c r="A38" s="20">
        <f>'1-数据输入'!A38</f>
        <v/>
      </c>
      <c r="B38" s="20" t="n"/>
      <c r="C38" s="20" t="n"/>
      <c r="D38" s="20" t="n"/>
      <c r="E38" s="20" t="n"/>
      <c r="F38" s="20" t="n"/>
      <c r="G38" s="20" t="n"/>
      <c r="H38" s="20" t="n"/>
      <c r="I38" s="20" t="n"/>
    </row>
    <row r="39">
      <c r="A39" s="20">
        <f>'1-数据输入'!A39</f>
        <v/>
      </c>
      <c r="B39" s="20" t="n"/>
      <c r="C39" s="20" t="n"/>
      <c r="D39" s="20" t="n"/>
      <c r="E39" s="20" t="n"/>
      <c r="F39" s="20" t="n"/>
      <c r="G39" s="20" t="n"/>
      <c r="H39" s="20" t="n"/>
      <c r="I39" s="20" t="n"/>
    </row>
    <row r="40">
      <c r="A40" s="20">
        <f>'1-数据输入'!A40</f>
        <v/>
      </c>
      <c r="B40" s="20" t="n"/>
      <c r="C40" s="20" t="n"/>
      <c r="D40" s="20" t="n"/>
      <c r="E40" s="20" t="n"/>
      <c r="F40" s="20" t="n"/>
      <c r="G40" s="20" t="n"/>
      <c r="H40" s="20" t="n"/>
      <c r="I40" s="20" t="n"/>
    </row>
    <row r="41">
      <c r="A41" s="20">
        <f>'1-数据输入'!A41</f>
        <v/>
      </c>
      <c r="B41" s="20" t="n"/>
      <c r="C41" s="20" t="n"/>
      <c r="D41" s="20" t="n"/>
      <c r="E41" s="20" t="n"/>
      <c r="F41" s="20" t="n"/>
      <c r="G41" s="20" t="n"/>
      <c r="H41" s="20" t="n"/>
      <c r="I41" s="20" t="n"/>
    </row>
    <row r="42">
      <c r="A42" s="20">
        <f>'1-数据输入'!A42</f>
        <v/>
      </c>
      <c r="B42" s="20" t="n"/>
      <c r="C42" s="20" t="n"/>
      <c r="D42" s="20" t="n"/>
      <c r="E42" s="20" t="n"/>
      <c r="F42" s="20" t="n"/>
      <c r="G42" s="20" t="n"/>
      <c r="H42" s="20" t="n"/>
      <c r="I42" s="20" t="n"/>
    </row>
    <row r="43">
      <c r="A43" s="20">
        <f>'1-数据输入'!A43</f>
        <v/>
      </c>
      <c r="B43" s="20" t="n"/>
      <c r="C43" s="20" t="n"/>
      <c r="D43" s="20" t="n"/>
      <c r="E43" s="20" t="n"/>
      <c r="F43" s="20" t="n"/>
      <c r="G43" s="20" t="n"/>
      <c r="H43" s="20" t="n"/>
      <c r="I43" s="20" t="n"/>
    </row>
    <row r="44">
      <c r="A44" s="20">
        <f>'1-数据输入'!A44</f>
        <v/>
      </c>
      <c r="B44" s="20" t="n"/>
      <c r="C44" s="20" t="n"/>
      <c r="D44" s="20" t="n"/>
      <c r="E44" s="20" t="n"/>
      <c r="F44" s="20" t="n"/>
      <c r="G44" s="20" t="n"/>
      <c r="H44" s="20" t="n"/>
      <c r="I44" s="20" t="n"/>
    </row>
    <row r="45">
      <c r="A45" s="20">
        <f>'1-数据输入'!A45</f>
        <v/>
      </c>
      <c r="B45" s="20" t="n"/>
      <c r="C45" s="20" t="n"/>
      <c r="D45" s="20" t="n"/>
      <c r="E45" s="20" t="n"/>
      <c r="F45" s="20" t="n"/>
      <c r="G45" s="20" t="n"/>
      <c r="H45" s="20" t="n"/>
      <c r="I45" s="20" t="n"/>
    </row>
    <row r="46">
      <c r="A46" s="20">
        <f>'1-数据输入'!A46</f>
        <v/>
      </c>
      <c r="B46" s="20" t="n"/>
      <c r="C46" s="20" t="n"/>
      <c r="D46" s="20" t="n"/>
      <c r="E46" s="20" t="n"/>
      <c r="F46" s="20" t="n"/>
      <c r="G46" s="20" t="n"/>
      <c r="H46" s="20" t="n"/>
      <c r="I46" s="20" t="n"/>
    </row>
    <row r="47">
      <c r="A47" s="20">
        <f>'1-数据输入'!A47</f>
        <v/>
      </c>
      <c r="B47" s="20" t="n"/>
      <c r="C47" s="20" t="n"/>
      <c r="D47" s="20" t="n"/>
      <c r="E47" s="20" t="n"/>
      <c r="F47" s="20" t="n"/>
      <c r="G47" s="20" t="n"/>
      <c r="H47" s="20" t="n"/>
      <c r="I47" s="20" t="n"/>
    </row>
    <row r="48">
      <c r="A48" s="20">
        <f>'1-数据输入'!A48</f>
        <v/>
      </c>
      <c r="B48" s="20" t="n"/>
      <c r="C48" s="20" t="n"/>
      <c r="D48" s="20" t="n"/>
      <c r="E48" s="20" t="n"/>
      <c r="F48" s="20" t="n"/>
      <c r="G48" s="20" t="n"/>
      <c r="H48" s="20" t="n"/>
      <c r="I48" s="20" t="n"/>
    </row>
    <row r="49">
      <c r="A49" s="20">
        <f>'1-数据输入'!A49</f>
        <v/>
      </c>
      <c r="B49" s="20" t="n"/>
      <c r="C49" s="20" t="n"/>
      <c r="D49" s="20" t="n"/>
      <c r="E49" s="20" t="n"/>
      <c r="F49" s="20" t="n"/>
      <c r="G49" s="20" t="n"/>
      <c r="H49" s="20" t="n"/>
      <c r="I49" s="20" t="n"/>
    </row>
    <row r="50">
      <c r="A50" s="20">
        <f>'1-数据输入'!A50</f>
        <v/>
      </c>
      <c r="B50" s="20" t="n"/>
      <c r="C50" s="20" t="n"/>
      <c r="D50" s="20" t="n"/>
      <c r="E50" s="20" t="n"/>
      <c r="F50" s="20" t="n"/>
      <c r="G50" s="20" t="n"/>
      <c r="H50" s="20" t="n"/>
      <c r="I50" s="20" t="n"/>
    </row>
    <row r="51">
      <c r="A51" s="20">
        <f>'1-数据输入'!A51</f>
        <v/>
      </c>
      <c r="B51" s="20" t="n"/>
      <c r="C51" s="20" t="n"/>
      <c r="D51" s="20" t="n"/>
      <c r="E51" s="20" t="n"/>
      <c r="F51" s="20" t="n"/>
      <c r="G51" s="20" t="n"/>
      <c r="H51" s="20" t="n"/>
      <c r="I51" s="20" t="n"/>
    </row>
    <row r="52">
      <c r="A52" s="20">
        <f>'1-数据输入'!A52</f>
        <v/>
      </c>
      <c r="B52" s="20" t="n"/>
      <c r="C52" s="20" t="n"/>
      <c r="D52" s="20" t="n"/>
      <c r="E52" s="20" t="n"/>
      <c r="F52" s="20" t="n"/>
      <c r="G52" s="20" t="n"/>
      <c r="H52" s="20" t="n"/>
      <c r="I52" s="20" t="n"/>
    </row>
    <row r="53">
      <c r="A53" s="20">
        <f>'1-数据输入'!A53</f>
        <v/>
      </c>
      <c r="B53" s="20" t="n"/>
      <c r="C53" s="20" t="n"/>
      <c r="D53" s="20" t="n"/>
      <c r="E53" s="20" t="n"/>
      <c r="F53" s="20" t="n"/>
      <c r="G53" s="20" t="n"/>
      <c r="H53" s="20" t="n"/>
      <c r="I53" s="20" t="n"/>
    </row>
    <row r="54">
      <c r="A54" s="20">
        <f>'1-数据输入'!A54</f>
        <v/>
      </c>
      <c r="B54" s="20" t="n"/>
      <c r="C54" s="20" t="n"/>
      <c r="D54" s="20" t="n"/>
      <c r="E54" s="20" t="n"/>
      <c r="F54" s="20" t="n"/>
      <c r="G54" s="20" t="n"/>
      <c r="H54" s="20" t="n"/>
      <c r="I54" s="20" t="n"/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10" customWidth="1" min="4" max="4"/>
    <col width="2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5" customWidth="1" min="13" max="13"/>
  </cols>
  <sheetData>
    <row r="1">
      <c r="A1" s="17" t="inlineStr">
        <is>
          <t>投注与中奖历史记录（自动更新）</t>
        </is>
      </c>
    </row>
    <row r="3">
      <c r="A3" s="22" t="inlineStr">
        <is>
          <t>期号</t>
        </is>
      </c>
      <c r="B3" s="22" t="inlineStr">
        <is>
          <t>注号</t>
        </is>
      </c>
      <c r="C3" s="22" t="inlineStr">
        <is>
          <t>投注红球</t>
        </is>
      </c>
      <c r="D3" s="22" t="inlineStr">
        <is>
          <t>投注蓝球</t>
        </is>
      </c>
      <c r="E3" s="22" t="inlineStr">
        <is>
          <t>开奖红球</t>
        </is>
      </c>
      <c r="F3" s="22" t="inlineStr">
        <is>
          <t>开奖蓝球</t>
        </is>
      </c>
      <c r="G3" s="22" t="inlineStr">
        <is>
          <t>中红球数</t>
        </is>
      </c>
      <c r="H3" s="22" t="inlineStr">
        <is>
          <t>中蓝球</t>
        </is>
      </c>
      <c r="I3" s="22" t="inlineStr">
        <is>
          <t>中奖等级</t>
        </is>
      </c>
      <c r="J3" s="22" t="inlineStr">
        <is>
          <t>奖金</t>
        </is>
      </c>
      <c r="K3" s="22" t="inlineStr">
        <is>
          <t>投入</t>
        </is>
      </c>
      <c r="L3" s="22" t="inlineStr">
        <is>
          <t>盈亏</t>
        </is>
      </c>
      <c r="M3" s="22" t="inlineStr">
        <is>
          <t>备注</t>
        </is>
      </c>
      <c r="O3" s="29" t="inlineStr">
        <is>
          <t>中奖等级说明</t>
        </is>
      </c>
    </row>
    <row r="4">
      <c r="O4" s="28" t="inlineStr">
        <is>
          <t>一等奖</t>
        </is>
      </c>
      <c r="P4" t="inlineStr">
        <is>
          <t>6+1</t>
        </is>
      </c>
    </row>
    <row r="5">
      <c r="O5" s="28" t="inlineStr">
        <is>
          <t>二等奖</t>
        </is>
      </c>
      <c r="P5" t="inlineStr">
        <is>
          <t>6+0</t>
        </is>
      </c>
    </row>
    <row r="6">
      <c r="O6" s="28" t="inlineStr">
        <is>
          <t>三等奖</t>
        </is>
      </c>
      <c r="P6" t="inlineStr">
        <is>
          <t>5+1</t>
        </is>
      </c>
    </row>
    <row r="7">
      <c r="O7" s="28" t="inlineStr">
        <is>
          <t>四等奖</t>
        </is>
      </c>
      <c r="P7" t="inlineStr">
        <is>
          <t>5+0 / 4+1</t>
        </is>
      </c>
    </row>
    <row r="8">
      <c r="O8" s="28" t="inlineStr">
        <is>
          <t>五等奖</t>
        </is>
      </c>
      <c r="P8" t="inlineStr">
        <is>
          <t>4+0 / 3+1</t>
        </is>
      </c>
    </row>
    <row r="9">
      <c r="O9" s="28" t="inlineStr">
        <is>
          <t>六等奖</t>
        </is>
      </c>
      <c r="P9" t="inlineStr">
        <is>
          <t>2+1 / 1+1 / 0+1</t>
        </is>
      </c>
    </row>
  </sheetData>
  <mergeCells count="2">
    <mergeCell ref="O3:P3"/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2" customWidth="1" min="4" max="4"/>
    <col width="12" customWidth="1" min="5" max="5"/>
    <col width="10" customWidth="1" min="6" max="6"/>
    <col width="10" customWidth="1" min="7" max="7"/>
    <col width="12" customWidth="1" min="8" max="8"/>
  </cols>
  <sheetData>
    <row r="1">
      <c r="A1" s="17" t="inlineStr">
        <is>
          <t>数据统计与分析报告</t>
        </is>
      </c>
    </row>
    <row r="3">
      <c r="A3" s="29" t="inlineStr">
        <is>
          <t>总体统计</t>
        </is>
      </c>
      <c r="D3" s="29" t="inlineStr">
        <is>
          <t>中奖等级分布</t>
        </is>
      </c>
      <c r="F3" s="29" t="inlineStr">
        <is>
          <t>24码热度TOP10</t>
        </is>
      </c>
    </row>
    <row r="4">
      <c r="A4" s="31" t="inlineStr">
        <is>
          <t>总投注期数</t>
        </is>
      </c>
      <c r="B4" s="32">
        <f>COUNTA('5-历史记录'!A4:A503)</f>
        <v/>
      </c>
      <c r="D4" s="31" t="inlineStr">
        <is>
          <t>一等奖</t>
        </is>
      </c>
      <c r="E4" s="32">
        <f>COUNTIF('5-历史记录'!I4:I503,D4)</f>
        <v/>
      </c>
      <c r="F4" s="33" t="inlineStr">
        <is>
          <t>排名</t>
        </is>
      </c>
      <c r="G4" s="33" t="inlineStr">
        <is>
          <t>号码</t>
        </is>
      </c>
      <c r="H4" s="33" t="inlineStr">
        <is>
          <t>出现次数</t>
        </is>
      </c>
    </row>
    <row r="5">
      <c r="A5" s="31" t="inlineStr">
        <is>
          <t>总投注注数</t>
        </is>
      </c>
      <c r="B5" s="32">
        <f>COUNTA('5-历史记录'!B4:B503)</f>
        <v/>
      </c>
      <c r="D5" s="31" t="inlineStr">
        <is>
          <t>二等奖</t>
        </is>
      </c>
      <c r="E5" s="32">
        <f>COUNTIF('5-历史记录'!I4:I503,D5)</f>
        <v/>
      </c>
      <c r="F5" s="20" t="n">
        <v>1</v>
      </c>
      <c r="G5" s="20">
        <f>'2-24码分析'!G5</f>
        <v/>
      </c>
      <c r="H5" s="20">
        <f>'2-24码分析'!B5</f>
        <v/>
      </c>
    </row>
    <row r="6">
      <c r="A6" s="31" t="inlineStr">
        <is>
          <t>总投入金额</t>
        </is>
      </c>
      <c r="B6" s="32">
        <f>SUM('5-历史记录'!K4:K503)</f>
        <v/>
      </c>
      <c r="D6" s="31" t="inlineStr">
        <is>
          <t>三等奖</t>
        </is>
      </c>
      <c r="E6" s="32">
        <f>COUNTIF('5-历史记录'!I4:I503,D6)</f>
        <v/>
      </c>
      <c r="F6" s="20" t="n">
        <v>2</v>
      </c>
      <c r="G6" s="20">
        <f>'2-24码分析'!G6</f>
        <v/>
      </c>
      <c r="H6" s="20">
        <f>'2-24码分析'!B6</f>
        <v/>
      </c>
    </row>
    <row r="7">
      <c r="A7" s="31" t="inlineStr">
        <is>
          <t>总中奖注数</t>
        </is>
      </c>
      <c r="B7" s="32">
        <f>COUNTIF('5-历史记录'!I4:I503,"&lt;&gt;")</f>
        <v/>
      </c>
      <c r="D7" s="31" t="inlineStr">
        <is>
          <t>四等奖</t>
        </is>
      </c>
      <c r="E7" s="32">
        <f>COUNTIF('5-历史记录'!I4:I503,D7)</f>
        <v/>
      </c>
      <c r="F7" s="20" t="n">
        <v>3</v>
      </c>
      <c r="G7" s="20">
        <f>'2-24码分析'!G7</f>
        <v/>
      </c>
      <c r="H7" s="20">
        <f>'2-24码分析'!B7</f>
        <v/>
      </c>
    </row>
    <row r="8">
      <c r="A8" s="31" t="inlineStr">
        <is>
          <t>总奖金</t>
        </is>
      </c>
      <c r="B8" s="32">
        <f>SUM('5-历史记录'!J4:J503)</f>
        <v/>
      </c>
      <c r="D8" s="31" t="inlineStr">
        <is>
          <t>五等奖</t>
        </is>
      </c>
      <c r="E8" s="32">
        <f>COUNTIF('5-历史记录'!I4:I503,D8)</f>
        <v/>
      </c>
      <c r="F8" s="20" t="n">
        <v>4</v>
      </c>
      <c r="G8" s="20">
        <f>'2-24码分析'!G8</f>
        <v/>
      </c>
      <c r="H8" s="20">
        <f>'2-24码分析'!B8</f>
        <v/>
      </c>
    </row>
    <row r="9">
      <c r="A9" s="31" t="inlineStr">
        <is>
          <t>总盈亏</t>
        </is>
      </c>
      <c r="B9" s="32">
        <f>SUM('5-历史记录'!L4:L503)</f>
        <v/>
      </c>
      <c r="D9" s="31" t="inlineStr">
        <is>
          <t>六等奖</t>
        </is>
      </c>
      <c r="E9" s="32">
        <f>COUNTIF('5-历史记录'!I4:I503,D9)</f>
        <v/>
      </c>
      <c r="F9" s="20" t="n">
        <v>5</v>
      </c>
      <c r="G9" s="20">
        <f>'2-24码分析'!G9</f>
        <v/>
      </c>
      <c r="H9" s="20">
        <f>'2-24码分析'!B9</f>
        <v/>
      </c>
    </row>
    <row r="10">
      <c r="A10" s="31" t="inlineStr">
        <is>
          <t>中奖率</t>
        </is>
      </c>
      <c r="B10" s="34">
        <f>B7/B5</f>
        <v/>
      </c>
      <c r="F10" s="20" t="n">
        <v>6</v>
      </c>
      <c r="G10" s="20">
        <f>'2-24码分析'!G10</f>
        <v/>
      </c>
      <c r="H10" s="20">
        <f>'2-24码分析'!B10</f>
        <v/>
      </c>
    </row>
    <row r="11">
      <c r="A11" s="31" t="inlineStr">
        <is>
          <t>投资回报率</t>
        </is>
      </c>
      <c r="B11" s="34">
        <f>B8/B6</f>
        <v/>
      </c>
      <c r="F11" s="20" t="n">
        <v>7</v>
      </c>
      <c r="G11" s="20">
        <f>'2-24码分析'!G11</f>
        <v/>
      </c>
      <c r="H11" s="20">
        <f>'2-24码分析'!B11</f>
        <v/>
      </c>
    </row>
    <row r="12">
      <c r="F12" s="20" t="n">
        <v>8</v>
      </c>
      <c r="G12" s="20">
        <f>'2-24码分析'!G12</f>
        <v/>
      </c>
      <c r="H12" s="20">
        <f>'2-24码分析'!B12</f>
        <v/>
      </c>
    </row>
    <row r="13">
      <c r="F13" s="20" t="n">
        <v>9</v>
      </c>
      <c r="G13" s="20">
        <f>'2-24码分析'!G13</f>
        <v/>
      </c>
      <c r="H13" s="20">
        <f>'2-24码分析'!B13</f>
        <v/>
      </c>
    </row>
    <row r="14">
      <c r="F14" s="20" t="n">
        <v>10</v>
      </c>
      <c r="G14" s="20">
        <f>'2-24码分析'!G14</f>
        <v/>
      </c>
      <c r="H14" s="20">
        <f>'2-24码分析'!B14</f>
        <v/>
      </c>
    </row>
  </sheetData>
  <mergeCells count="4">
    <mergeCell ref="F3:H3"/>
    <mergeCell ref="D3:E3"/>
    <mergeCell ref="A3:B3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2026-01-04T10:42:13Z</dcterms:created>
  <dcterms:modified xsi:type="dcterms:W3CDTF">2026-01-04T10:42:13Z</dcterms:modified>
</cp:coreProperties>
</file>