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数据输入" sheetId="2" state="visible" r:id="rId2"/>
    <sheet name="2-24码分析" sheetId="3" state="visible" r:id="rId3"/>
    <sheet name="3-投注方案" sheetId="4" state="visible" r:id="rId4"/>
    <sheet name="4-开奖结果" sheetId="5" state="visible" r:id="rId5"/>
    <sheet name="5-历史记录" sheetId="6" state="visible" r:id="rId6"/>
    <sheet name="6-统计分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C55A11"/>
      <sz val="13"/>
    </font>
    <font>
      <b val="1"/>
      <sz val="11"/>
    </font>
    <font>
      <b val="1"/>
      <color rgb="004472C4"/>
      <sz val="11"/>
    </font>
    <font>
      <sz val="10"/>
    </font>
    <font>
      <b val="1"/>
      <color rgb="0070AD47"/>
      <sz val="13"/>
    </font>
    <font>
      <b val="1"/>
      <color rgb="00C00000"/>
      <sz val="13"/>
    </font>
    <font>
      <b val="1"/>
      <color rgb="007030A0"/>
      <sz val="13"/>
    </font>
    <font>
      <b val="1"/>
      <sz val="13"/>
    </font>
    <font>
      <i val="1"/>
      <color rgb="00666666"/>
      <sz val="10"/>
    </font>
    <font>
      <b val="1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4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3" fillId="5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双色球投注方案生成工具 - 使用说明</t>
        </is>
      </c>
    </row>
    <row r="2">
      <c r="A2" s="2" t="inlineStr">
        <is>
          <t>版本：1.0 | 创建日期：2026-01-04</t>
        </is>
      </c>
    </row>
    <row r="4">
      <c r="A4" s="3" t="inlineStr">
        <is>
          <t>📋 完整工作流程</t>
        </is>
      </c>
    </row>
    <row r="6">
      <c r="A6" s="4" t="inlineStr">
        <is>
          <t>步骤1</t>
        </is>
      </c>
      <c r="B6" s="5" t="inlineStr">
        <is>
          <t>数据输入</t>
        </is>
      </c>
      <c r="C6" s="6" t="inlineStr">
        <is>
          <t>在【1-数据输入】表中输入最近30期开奖数据（红球1-6+蓝球）</t>
        </is>
      </c>
    </row>
    <row r="7">
      <c r="A7" s="4" t="inlineStr">
        <is>
          <t>步骤2</t>
        </is>
      </c>
      <c r="B7" s="5" t="inlineStr">
        <is>
          <t>24码分析</t>
        </is>
      </c>
      <c r="C7" s="6" t="inlineStr">
        <is>
          <t>系统自动分析生成24码主流区间（【2-24码分析】表）</t>
        </is>
      </c>
    </row>
    <row r="8">
      <c r="A8" s="4" t="inlineStr">
        <is>
          <t>步骤3</t>
        </is>
      </c>
      <c r="B8" s="5" t="inlineStr">
        <is>
          <t>方案生成</t>
        </is>
      </c>
      <c r="C8" s="6" t="inlineStr">
        <is>
          <t>基于24码自动生成8-12注投注方案（【3-投注方案】表）</t>
        </is>
      </c>
    </row>
    <row r="9">
      <c r="A9" s="4" t="inlineStr">
        <is>
          <t>步骤4</t>
        </is>
      </c>
      <c r="B9" s="5" t="inlineStr">
        <is>
          <t>投注执行</t>
        </is>
      </c>
      <c r="C9" s="6" t="inlineStr">
        <is>
          <t>按生成的方案进行投注</t>
        </is>
      </c>
    </row>
    <row r="10">
      <c r="A10" s="4" t="inlineStr">
        <is>
          <t>步骤5</t>
        </is>
      </c>
      <c r="B10" s="5" t="inlineStr">
        <is>
          <t>开奖录入</t>
        </is>
      </c>
      <c r="C10" s="6" t="inlineStr">
        <is>
          <t>在【4-开奖结果】表中输入开奖号码</t>
        </is>
      </c>
    </row>
    <row r="11">
      <c r="A11" s="4" t="inlineStr">
        <is>
          <t>步骤6</t>
        </is>
      </c>
      <c r="B11" s="5" t="inlineStr">
        <is>
          <t>中奖判断</t>
        </is>
      </c>
      <c r="C11" s="6" t="inlineStr">
        <is>
          <t>系统自动判断中奖情况并更新【5-历史记录】表</t>
        </is>
      </c>
    </row>
    <row r="12">
      <c r="A12" s="4" t="inlineStr">
        <is>
          <t>步骤7</t>
        </is>
      </c>
      <c r="B12" s="5" t="inlineStr">
        <is>
          <t>查看分析</t>
        </is>
      </c>
      <c r="C12" s="6" t="inlineStr">
        <is>
          <t>在【6-统计分析】表查看中奖统计和效率分析</t>
        </is>
      </c>
    </row>
    <row r="15">
      <c r="A15" s="7" t="inlineStr">
        <is>
          <t>✨ 核心功能特点</t>
        </is>
      </c>
    </row>
    <row r="17">
      <c r="A17" s="6" t="inlineStr">
        <is>
          <t>• 全自动化：输入数据后所有分析、方案生成、中奖判断全部自动完成</t>
        </is>
      </c>
    </row>
    <row r="18">
      <c r="A18" s="6" t="inlineStr">
        <is>
          <t>• 智能24码：基于最近30期数据动态计算热门号码区间</t>
        </is>
      </c>
    </row>
    <row r="19">
      <c r="A19" s="6" t="inlineStr">
        <is>
          <t>• 双模板策略：80%使用模板A（3奇3偶），20%使用模板B（2奇4偶）</t>
        </is>
      </c>
    </row>
    <row r="20">
      <c r="A20" s="6" t="inlineStr">
        <is>
          <t>• 结构优化：自动控制连号、同尾数量，提高中奖概率</t>
        </is>
      </c>
    </row>
    <row r="21">
      <c r="A21" s="6" t="inlineStr">
        <is>
          <t>• 历史追踪：完整保存所有投注和中奖历史</t>
        </is>
      </c>
    </row>
    <row r="22">
      <c r="A22" s="6" t="inlineStr">
        <is>
          <t>• 数据分析：多维度统计分析，包括中奖率、ROI、号码热度等</t>
        </is>
      </c>
    </row>
    <row r="25">
      <c r="A25" s="8" t="inlineStr">
        <is>
          <t>⚠️ 重要注意事项</t>
        </is>
      </c>
    </row>
    <row r="27">
      <c r="A27" s="9" t="inlineStr">
        <is>
          <t>1. 必须输入完整的最近30期数据，数据不足会影响分析准确性</t>
        </is>
      </c>
    </row>
    <row r="28">
      <c r="A28" s="9" t="inlineStr">
        <is>
          <t>2. 红球范围01-33，蓝球范围01-16，输入时注意范围</t>
        </is>
      </c>
    </row>
    <row r="29">
      <c r="A29" s="9" t="inlineStr">
        <is>
          <t>3. 每期建议生成8-12注，不超过15注</t>
        </is>
      </c>
    </row>
    <row r="30">
      <c r="A30" s="9" t="inlineStr">
        <is>
          <t>4. 投注方案仅供参考，不保证中奖</t>
        </is>
      </c>
    </row>
    <row r="31">
      <c r="A31" s="9" t="inlineStr">
        <is>
          <t>5. 理性投注，量力而行</t>
        </is>
      </c>
    </row>
    <row r="32">
      <c r="A32" s="9" t="inlineStr">
        <is>
          <t>6. 定期备份Excel文件，防止数据丢失</t>
        </is>
      </c>
    </row>
    <row r="35">
      <c r="A35" s="10" t="inlineStr">
        <is>
          <t>📊 投注模板说明</t>
        </is>
      </c>
    </row>
    <row r="37">
      <c r="A37" s="11" t="inlineStr">
        <is>
          <t>模板A（使用频率80%）</t>
        </is>
      </c>
    </row>
    <row r="38">
      <c r="A38" s="6" t="inlineStr">
        <is>
          <t>• 奇偶比：3奇 + 3偶</t>
        </is>
      </c>
    </row>
    <row r="39">
      <c r="A39" s="6" t="inlineStr">
        <is>
          <t>• 大小比：3小（1-16）+ 3大（17-33）</t>
        </is>
      </c>
    </row>
    <row r="40">
      <c r="A40" s="6" t="inlineStr">
        <is>
          <t>• 连号：0组或1组连号</t>
        </is>
      </c>
    </row>
    <row r="41">
      <c r="A41" s="6" t="inlineStr">
        <is>
          <t>• 同尾：≤1组同尾号</t>
        </is>
      </c>
    </row>
    <row r="43">
      <c r="A43" s="11" t="inlineStr">
        <is>
          <t>模板B（使用频率20%）</t>
        </is>
      </c>
    </row>
    <row r="44">
      <c r="A44" s="6" t="inlineStr">
        <is>
          <t>• 奇偶比：2奇 + 4偶</t>
        </is>
      </c>
    </row>
    <row r="45">
      <c r="A45" s="6" t="inlineStr">
        <is>
          <t>• 大小比：2小（1-16）+ 4大（17-33）</t>
        </is>
      </c>
    </row>
    <row r="46">
      <c r="A46" s="6" t="inlineStr">
        <is>
          <t>• 连号：≤1组连号</t>
        </is>
      </c>
    </row>
    <row r="47">
      <c r="A47" s="6" t="inlineStr">
        <is>
          <t>• 同尾：≤2组同尾号</t>
        </is>
      </c>
    </row>
    <row r="50">
      <c r="A50" s="12" t="inlineStr">
        <is>
          <t>📞 技术支持</t>
        </is>
      </c>
    </row>
    <row r="52">
      <c r="A52" s="13" t="inlineStr">
        <is>
          <t>如有问题或建议，请联系开发团队</t>
        </is>
      </c>
    </row>
  </sheetData>
  <mergeCells count="37">
    <mergeCell ref="A41:F41"/>
    <mergeCell ref="A46:F46"/>
    <mergeCell ref="C8:F8"/>
    <mergeCell ref="A37:F37"/>
    <mergeCell ref="A27:F27"/>
    <mergeCell ref="C7:F7"/>
    <mergeCell ref="A18:F18"/>
    <mergeCell ref="A50:F50"/>
    <mergeCell ref="A21:F21"/>
    <mergeCell ref="A2:F2"/>
    <mergeCell ref="A47:F47"/>
    <mergeCell ref="A32:F32"/>
    <mergeCell ref="C6:F6"/>
    <mergeCell ref="A22:F22"/>
    <mergeCell ref="A17:F17"/>
    <mergeCell ref="A35:F35"/>
    <mergeCell ref="A4:F4"/>
    <mergeCell ref="A20:F20"/>
    <mergeCell ref="A29:F29"/>
    <mergeCell ref="A43:F43"/>
    <mergeCell ref="A38:F38"/>
    <mergeCell ref="A52:F52"/>
    <mergeCell ref="A28:F28"/>
    <mergeCell ref="A19:F19"/>
    <mergeCell ref="A44:F44"/>
    <mergeCell ref="A31:F31"/>
    <mergeCell ref="A40:F40"/>
    <mergeCell ref="C10:F10"/>
    <mergeCell ref="A30:F30"/>
    <mergeCell ref="A39:F39"/>
    <mergeCell ref="A15:F15"/>
    <mergeCell ref="C9:F9"/>
    <mergeCell ref="A1:F1"/>
    <mergeCell ref="C12:F12"/>
    <mergeCell ref="A45:F45"/>
    <mergeCell ref="C11:F1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4" t="inlineStr">
        <is>
          <t>双色球历史数据输入表</t>
        </is>
      </c>
    </row>
    <row r="2">
      <c r="A2" s="13" t="inlineStr">
        <is>
          <t>说明：请输入最近30期开奖数据，系统将自动计算24码主流区间并生成投注方案</t>
        </is>
      </c>
    </row>
    <row r="4">
      <c r="A4" s="15" t="inlineStr">
        <is>
          <t>期号</t>
        </is>
      </c>
      <c r="B4" s="15" t="inlineStr">
        <is>
          <t>红球1</t>
        </is>
      </c>
      <c r="C4" s="15" t="inlineStr">
        <is>
          <t>红球2</t>
        </is>
      </c>
      <c r="D4" s="15" t="inlineStr">
        <is>
          <t>红球3</t>
        </is>
      </c>
      <c r="E4" s="15" t="inlineStr">
        <is>
          <t>红球4</t>
        </is>
      </c>
      <c r="F4" s="15" t="inlineStr">
        <is>
          <t>红球5</t>
        </is>
      </c>
      <c r="G4" s="15" t="inlineStr">
        <is>
          <t>红球6</t>
        </is>
      </c>
      <c r="H4" s="15" t="inlineStr">
        <is>
          <t>蓝球</t>
        </is>
      </c>
    </row>
    <row r="5">
      <c r="A5" s="16" t="inlineStr">
        <is>
          <t>2025001</t>
        </is>
      </c>
      <c r="B5" s="16" t="n">
        <v>2</v>
      </c>
      <c r="C5" s="16" t="n">
        <v>3</v>
      </c>
      <c r="D5" s="16" t="n">
        <v>17</v>
      </c>
      <c r="E5" s="16" t="n">
        <v>18</v>
      </c>
      <c r="F5" s="16" t="n">
        <v>22</v>
      </c>
      <c r="G5" s="16" t="n">
        <v>33</v>
      </c>
      <c r="H5" s="16" t="n">
        <v>8</v>
      </c>
    </row>
    <row r="6">
      <c r="A6" s="16" t="inlineStr">
        <is>
          <t>2025002</t>
        </is>
      </c>
      <c r="B6" s="16" t="n">
        <v>5</v>
      </c>
      <c r="C6" s="16" t="n">
        <v>8</v>
      </c>
      <c r="D6" s="16" t="n">
        <v>12</v>
      </c>
      <c r="E6" s="16" t="n">
        <v>19</v>
      </c>
      <c r="F6" s="16" t="n">
        <v>26</v>
      </c>
      <c r="G6" s="16" t="n">
        <v>30</v>
      </c>
      <c r="H6" s="16" t="n">
        <v>11</v>
      </c>
    </row>
    <row r="7">
      <c r="A7" s="16" t="inlineStr">
        <is>
          <t>2025003</t>
        </is>
      </c>
      <c r="B7" s="16" t="n">
        <v>1</v>
      </c>
      <c r="C7" s="16" t="n">
        <v>7</v>
      </c>
      <c r="D7" s="16" t="n">
        <v>14</v>
      </c>
      <c r="E7" s="16" t="n">
        <v>21</v>
      </c>
      <c r="F7" s="16" t="n">
        <v>28</v>
      </c>
      <c r="G7" s="16" t="n">
        <v>32</v>
      </c>
      <c r="H7" s="16" t="n">
        <v>6</v>
      </c>
    </row>
    <row r="8">
      <c r="A8" s="16" t="inlineStr">
        <is>
          <t>2025004</t>
        </is>
      </c>
      <c r="B8" s="16" t="n">
        <v>4</v>
      </c>
      <c r="C8" s="16" t="n">
        <v>9</v>
      </c>
      <c r="D8" s="16" t="n">
        <v>15</v>
      </c>
      <c r="E8" s="16" t="n">
        <v>20</v>
      </c>
      <c r="F8" s="16" t="n">
        <v>25</v>
      </c>
      <c r="G8" s="16" t="n">
        <v>31</v>
      </c>
      <c r="H8" s="16" t="n">
        <v>13</v>
      </c>
    </row>
    <row r="9">
      <c r="A9" s="16" t="inlineStr">
        <is>
          <t>2025005</t>
        </is>
      </c>
      <c r="B9" s="16" t="n">
        <v>6</v>
      </c>
      <c r="C9" s="16" t="n">
        <v>10</v>
      </c>
      <c r="D9" s="16" t="n">
        <v>16</v>
      </c>
      <c r="E9" s="16" t="n">
        <v>23</v>
      </c>
      <c r="F9" s="16" t="n">
        <v>27</v>
      </c>
      <c r="G9" s="16" t="n">
        <v>29</v>
      </c>
      <c r="H9" s="16" t="n">
        <v>9</v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6">
      <c r="A36" s="4" t="inlineStr">
        <is>
          <t>注意事项：</t>
        </is>
      </c>
    </row>
    <row r="37">
      <c r="A37" t="inlineStr">
        <is>
          <t>1. 期号格式：YYYYNNN（如2025001）</t>
        </is>
      </c>
    </row>
    <row r="38">
      <c r="A38" t="inlineStr">
        <is>
          <t>2. 红球范围：01-33（输入时可省略前导零）</t>
        </is>
      </c>
    </row>
    <row r="39">
      <c r="A39" t="inlineStr">
        <is>
          <t>3. 蓝球范围：01-16</t>
        </is>
      </c>
    </row>
    <row r="40">
      <c r="A40" t="inlineStr">
        <is>
          <t>4. 请按时间顺序从旧到新输入最近30期数据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5" customWidth="1" min="7" max="7"/>
  </cols>
  <sheetData>
    <row r="1">
      <c r="A1" s="14" t="inlineStr">
        <is>
          <t>24码主流区间自动分析</t>
        </is>
      </c>
    </row>
    <row r="2">
      <c r="A2" s="13" t="inlineStr">
        <is>
          <t>基于最近30期数据自动计算，取出现频次最高的前24个红球号码</t>
        </is>
      </c>
    </row>
    <row r="4">
      <c r="A4" s="17" t="inlineStr">
        <is>
          <t>红球号码</t>
        </is>
      </c>
      <c r="B4" s="17" t="inlineStr">
        <is>
          <t>出现次数</t>
        </is>
      </c>
      <c r="C4" s="17" t="inlineStr">
        <is>
          <t>出现频率</t>
        </is>
      </c>
      <c r="D4" s="17" t="inlineStr">
        <is>
          <t>是否入选</t>
        </is>
      </c>
      <c r="E4" s="17" t="inlineStr">
        <is>
          <t>排名</t>
        </is>
      </c>
      <c r="G4" s="18" t="inlineStr">
        <is>
          <t>24码主流区间</t>
        </is>
      </c>
    </row>
    <row r="5">
      <c r="A5" s="16" t="inlineStr">
        <is>
          <t>01</t>
        </is>
      </c>
      <c r="B5" s="16">
        <f>COUNTIF('1-数据输入'!B5:G34,A5)</f>
        <v/>
      </c>
      <c r="C5" s="19">
        <f>B5/30</f>
        <v/>
      </c>
      <c r="D5" s="16">
        <f>IF(E5&lt;=24,"✓","")</f>
        <v/>
      </c>
      <c r="E5" s="16">
        <f>RANK(B5,B$5:B$37,0)</f>
        <v/>
      </c>
      <c r="G5" s="20">
        <f>IFERROR(INDEX(A$5:A$37,MATCH(SMALL(E$5:E$37,1),E$5:E$37,0)),"")</f>
        <v/>
      </c>
    </row>
    <row r="6">
      <c r="A6" s="16" t="inlineStr">
        <is>
          <t>02</t>
        </is>
      </c>
      <c r="B6" s="16">
        <f>COUNTIF('1-数据输入'!B5:G34,A6)</f>
        <v/>
      </c>
      <c r="C6" s="19">
        <f>B6/30</f>
        <v/>
      </c>
      <c r="D6" s="16">
        <f>IF(E6&lt;=24,"✓","")</f>
        <v/>
      </c>
      <c r="E6" s="16">
        <f>RANK(B6,B$5:B$37,0)</f>
        <v/>
      </c>
      <c r="G6" s="20">
        <f>IFERROR(INDEX(A$5:A$37,MATCH(SMALL(E$5:E$37,2),E$5:E$37,0)),"")</f>
        <v/>
      </c>
    </row>
    <row r="7">
      <c r="A7" s="16" t="inlineStr">
        <is>
          <t>03</t>
        </is>
      </c>
      <c r="B7" s="16">
        <f>COUNTIF('1-数据输入'!B5:G34,A7)</f>
        <v/>
      </c>
      <c r="C7" s="19">
        <f>B7/30</f>
        <v/>
      </c>
      <c r="D7" s="16">
        <f>IF(E7&lt;=24,"✓","")</f>
        <v/>
      </c>
      <c r="E7" s="16">
        <f>RANK(B7,B$5:B$37,0)</f>
        <v/>
      </c>
      <c r="G7" s="20">
        <f>IFERROR(INDEX(A$5:A$37,MATCH(SMALL(E$5:E$37,3),E$5:E$37,0)),"")</f>
        <v/>
      </c>
    </row>
    <row r="8">
      <c r="A8" s="16" t="inlineStr">
        <is>
          <t>04</t>
        </is>
      </c>
      <c r="B8" s="16">
        <f>COUNTIF('1-数据输入'!B5:G34,A8)</f>
        <v/>
      </c>
      <c r="C8" s="19">
        <f>B8/30</f>
        <v/>
      </c>
      <c r="D8" s="16">
        <f>IF(E8&lt;=24,"✓","")</f>
        <v/>
      </c>
      <c r="E8" s="16">
        <f>RANK(B8,B$5:B$37,0)</f>
        <v/>
      </c>
      <c r="G8" s="20">
        <f>IFERROR(INDEX(A$5:A$37,MATCH(SMALL(E$5:E$37,4),E$5:E$37,0)),"")</f>
        <v/>
      </c>
    </row>
    <row r="9">
      <c r="A9" s="16" t="inlineStr">
        <is>
          <t>05</t>
        </is>
      </c>
      <c r="B9" s="16">
        <f>COUNTIF('1-数据输入'!B5:G34,A9)</f>
        <v/>
      </c>
      <c r="C9" s="19">
        <f>B9/30</f>
        <v/>
      </c>
      <c r="D9" s="16">
        <f>IF(E9&lt;=24,"✓","")</f>
        <v/>
      </c>
      <c r="E9" s="16">
        <f>RANK(B9,B$5:B$37,0)</f>
        <v/>
      </c>
      <c r="G9" s="20">
        <f>IFERROR(INDEX(A$5:A$37,MATCH(SMALL(E$5:E$37,5),E$5:E$37,0)),"")</f>
        <v/>
      </c>
    </row>
    <row r="10">
      <c r="A10" s="16" t="inlineStr">
        <is>
          <t>06</t>
        </is>
      </c>
      <c r="B10" s="16">
        <f>COUNTIF('1-数据输入'!B5:G34,A10)</f>
        <v/>
      </c>
      <c r="C10" s="19">
        <f>B10/30</f>
        <v/>
      </c>
      <c r="D10" s="16">
        <f>IF(E10&lt;=24,"✓","")</f>
        <v/>
      </c>
      <c r="E10" s="16">
        <f>RANK(B10,B$5:B$37,0)</f>
        <v/>
      </c>
      <c r="G10" s="20">
        <f>IFERROR(INDEX(A$5:A$37,MATCH(SMALL(E$5:E$37,6),E$5:E$37,0)),"")</f>
        <v/>
      </c>
    </row>
    <row r="11">
      <c r="A11" s="16" t="inlineStr">
        <is>
          <t>07</t>
        </is>
      </c>
      <c r="B11" s="16">
        <f>COUNTIF('1-数据输入'!B5:G34,A11)</f>
        <v/>
      </c>
      <c r="C11" s="19">
        <f>B11/30</f>
        <v/>
      </c>
      <c r="D11" s="16">
        <f>IF(E11&lt;=24,"✓","")</f>
        <v/>
      </c>
      <c r="E11" s="16">
        <f>RANK(B11,B$5:B$37,0)</f>
        <v/>
      </c>
      <c r="G11" s="20">
        <f>IFERROR(INDEX(A$5:A$37,MATCH(SMALL(E$5:E$37,7),E$5:E$37,0)),"")</f>
        <v/>
      </c>
    </row>
    <row r="12">
      <c r="A12" s="16" t="inlineStr">
        <is>
          <t>08</t>
        </is>
      </c>
      <c r="B12" s="16">
        <f>COUNTIF('1-数据输入'!B5:G34,A12)</f>
        <v/>
      </c>
      <c r="C12" s="19">
        <f>B12/30</f>
        <v/>
      </c>
      <c r="D12" s="16">
        <f>IF(E12&lt;=24,"✓","")</f>
        <v/>
      </c>
      <c r="E12" s="16">
        <f>RANK(B12,B$5:B$37,0)</f>
        <v/>
      </c>
      <c r="G12" s="20">
        <f>IFERROR(INDEX(A$5:A$37,MATCH(SMALL(E$5:E$37,8),E$5:E$37,0)),"")</f>
        <v/>
      </c>
    </row>
    <row r="13">
      <c r="A13" s="16" t="inlineStr">
        <is>
          <t>09</t>
        </is>
      </c>
      <c r="B13" s="16">
        <f>COUNTIF('1-数据输入'!B5:G34,A13)</f>
        <v/>
      </c>
      <c r="C13" s="19">
        <f>B13/30</f>
        <v/>
      </c>
      <c r="D13" s="16">
        <f>IF(E13&lt;=24,"✓","")</f>
        <v/>
      </c>
      <c r="E13" s="16">
        <f>RANK(B13,B$5:B$37,0)</f>
        <v/>
      </c>
      <c r="G13" s="20">
        <f>IFERROR(INDEX(A$5:A$37,MATCH(SMALL(E$5:E$37,9),E$5:E$37,0)),"")</f>
        <v/>
      </c>
    </row>
    <row r="14">
      <c r="A14" s="16" t="inlineStr">
        <is>
          <t>10</t>
        </is>
      </c>
      <c r="B14" s="16">
        <f>COUNTIF('1-数据输入'!B5:G34,A14)</f>
        <v/>
      </c>
      <c r="C14" s="19">
        <f>B14/30</f>
        <v/>
      </c>
      <c r="D14" s="16">
        <f>IF(E14&lt;=24,"✓","")</f>
        <v/>
      </c>
      <c r="E14" s="16">
        <f>RANK(B14,B$5:B$37,0)</f>
        <v/>
      </c>
      <c r="G14" s="20">
        <f>IFERROR(INDEX(A$5:A$37,MATCH(SMALL(E$5:E$37,10),E$5:E$37,0)),"")</f>
        <v/>
      </c>
    </row>
    <row r="15">
      <c r="A15" s="16" t="inlineStr">
        <is>
          <t>11</t>
        </is>
      </c>
      <c r="B15" s="16">
        <f>COUNTIF('1-数据输入'!B5:G34,A15)</f>
        <v/>
      </c>
      <c r="C15" s="19">
        <f>B15/30</f>
        <v/>
      </c>
      <c r="D15" s="16">
        <f>IF(E15&lt;=24,"✓","")</f>
        <v/>
      </c>
      <c r="E15" s="16">
        <f>RANK(B15,B$5:B$37,0)</f>
        <v/>
      </c>
      <c r="G15" s="20">
        <f>IFERROR(INDEX(A$5:A$37,MATCH(SMALL(E$5:E$37,11),E$5:E$37,0)),"")</f>
        <v/>
      </c>
    </row>
    <row r="16">
      <c r="A16" s="16" t="inlineStr">
        <is>
          <t>12</t>
        </is>
      </c>
      <c r="B16" s="16">
        <f>COUNTIF('1-数据输入'!B5:G34,A16)</f>
        <v/>
      </c>
      <c r="C16" s="19">
        <f>B16/30</f>
        <v/>
      </c>
      <c r="D16" s="16">
        <f>IF(E16&lt;=24,"✓","")</f>
        <v/>
      </c>
      <c r="E16" s="16">
        <f>RANK(B16,B$5:B$37,0)</f>
        <v/>
      </c>
      <c r="G16" s="20">
        <f>IFERROR(INDEX(A$5:A$37,MATCH(SMALL(E$5:E$37,12),E$5:E$37,0)),"")</f>
        <v/>
      </c>
    </row>
    <row r="17">
      <c r="A17" s="16" t="inlineStr">
        <is>
          <t>13</t>
        </is>
      </c>
      <c r="B17" s="16">
        <f>COUNTIF('1-数据输入'!B5:G34,A17)</f>
        <v/>
      </c>
      <c r="C17" s="19">
        <f>B17/30</f>
        <v/>
      </c>
      <c r="D17" s="16">
        <f>IF(E17&lt;=24,"✓","")</f>
        <v/>
      </c>
      <c r="E17" s="16">
        <f>RANK(B17,B$5:B$37,0)</f>
        <v/>
      </c>
      <c r="G17" s="20">
        <f>IFERROR(INDEX(A$5:A$37,MATCH(SMALL(E$5:E$37,13),E$5:E$37,0)),"")</f>
        <v/>
      </c>
    </row>
    <row r="18">
      <c r="A18" s="16" t="inlineStr">
        <is>
          <t>14</t>
        </is>
      </c>
      <c r="B18" s="16">
        <f>COUNTIF('1-数据输入'!B5:G34,A18)</f>
        <v/>
      </c>
      <c r="C18" s="19">
        <f>B18/30</f>
        <v/>
      </c>
      <c r="D18" s="16">
        <f>IF(E18&lt;=24,"✓","")</f>
        <v/>
      </c>
      <c r="E18" s="16">
        <f>RANK(B18,B$5:B$37,0)</f>
        <v/>
      </c>
      <c r="G18" s="20">
        <f>IFERROR(INDEX(A$5:A$37,MATCH(SMALL(E$5:E$37,14),E$5:E$37,0)),"")</f>
        <v/>
      </c>
    </row>
    <row r="19">
      <c r="A19" s="16" t="inlineStr">
        <is>
          <t>15</t>
        </is>
      </c>
      <c r="B19" s="16">
        <f>COUNTIF('1-数据输入'!B5:G34,A19)</f>
        <v/>
      </c>
      <c r="C19" s="19">
        <f>B19/30</f>
        <v/>
      </c>
      <c r="D19" s="16">
        <f>IF(E19&lt;=24,"✓","")</f>
        <v/>
      </c>
      <c r="E19" s="16">
        <f>RANK(B19,B$5:B$37,0)</f>
        <v/>
      </c>
      <c r="G19" s="20">
        <f>IFERROR(INDEX(A$5:A$37,MATCH(SMALL(E$5:E$37,15),E$5:E$37,0)),"")</f>
        <v/>
      </c>
    </row>
    <row r="20">
      <c r="A20" s="16" t="inlineStr">
        <is>
          <t>16</t>
        </is>
      </c>
      <c r="B20" s="16">
        <f>COUNTIF('1-数据输入'!B5:G34,A20)</f>
        <v/>
      </c>
      <c r="C20" s="19">
        <f>B20/30</f>
        <v/>
      </c>
      <c r="D20" s="16">
        <f>IF(E20&lt;=24,"✓","")</f>
        <v/>
      </c>
      <c r="E20" s="16">
        <f>RANK(B20,B$5:B$37,0)</f>
        <v/>
      </c>
      <c r="G20" s="20">
        <f>IFERROR(INDEX(A$5:A$37,MATCH(SMALL(E$5:E$37,16),E$5:E$37,0)),"")</f>
        <v/>
      </c>
    </row>
    <row r="21">
      <c r="A21" s="16" t="inlineStr">
        <is>
          <t>17</t>
        </is>
      </c>
      <c r="B21" s="16">
        <f>COUNTIF('1-数据输入'!B5:G34,A21)</f>
        <v/>
      </c>
      <c r="C21" s="19">
        <f>B21/30</f>
        <v/>
      </c>
      <c r="D21" s="16">
        <f>IF(E21&lt;=24,"✓","")</f>
        <v/>
      </c>
      <c r="E21" s="16">
        <f>RANK(B21,B$5:B$37,0)</f>
        <v/>
      </c>
      <c r="G21" s="20">
        <f>IFERROR(INDEX(A$5:A$37,MATCH(SMALL(E$5:E$37,17),E$5:E$37,0)),"")</f>
        <v/>
      </c>
    </row>
    <row r="22">
      <c r="A22" s="16" t="inlineStr">
        <is>
          <t>18</t>
        </is>
      </c>
      <c r="B22" s="16">
        <f>COUNTIF('1-数据输入'!B5:G34,A22)</f>
        <v/>
      </c>
      <c r="C22" s="19">
        <f>B22/30</f>
        <v/>
      </c>
      <c r="D22" s="16">
        <f>IF(E22&lt;=24,"✓","")</f>
        <v/>
      </c>
      <c r="E22" s="16">
        <f>RANK(B22,B$5:B$37,0)</f>
        <v/>
      </c>
      <c r="G22" s="20">
        <f>IFERROR(INDEX(A$5:A$37,MATCH(SMALL(E$5:E$37,18),E$5:E$37,0)),"")</f>
        <v/>
      </c>
    </row>
    <row r="23">
      <c r="A23" s="16" t="inlineStr">
        <is>
          <t>19</t>
        </is>
      </c>
      <c r="B23" s="16">
        <f>COUNTIF('1-数据输入'!B5:G34,A23)</f>
        <v/>
      </c>
      <c r="C23" s="19">
        <f>B23/30</f>
        <v/>
      </c>
      <c r="D23" s="16">
        <f>IF(E23&lt;=24,"✓","")</f>
        <v/>
      </c>
      <c r="E23" s="16">
        <f>RANK(B23,B$5:B$37,0)</f>
        <v/>
      </c>
      <c r="G23" s="20">
        <f>IFERROR(INDEX(A$5:A$37,MATCH(SMALL(E$5:E$37,19),E$5:E$37,0)),"")</f>
        <v/>
      </c>
    </row>
    <row r="24">
      <c r="A24" s="16" t="inlineStr">
        <is>
          <t>20</t>
        </is>
      </c>
      <c r="B24" s="16">
        <f>COUNTIF('1-数据输入'!B5:G34,A24)</f>
        <v/>
      </c>
      <c r="C24" s="19">
        <f>B24/30</f>
        <v/>
      </c>
      <c r="D24" s="16">
        <f>IF(E24&lt;=24,"✓","")</f>
        <v/>
      </c>
      <c r="E24" s="16">
        <f>RANK(B24,B$5:B$37,0)</f>
        <v/>
      </c>
      <c r="G24" s="20">
        <f>IFERROR(INDEX(A$5:A$37,MATCH(SMALL(E$5:E$37,20),E$5:E$37,0)),"")</f>
        <v/>
      </c>
    </row>
    <row r="25">
      <c r="A25" s="16" t="inlineStr">
        <is>
          <t>21</t>
        </is>
      </c>
      <c r="B25" s="16">
        <f>COUNTIF('1-数据输入'!B5:G34,A25)</f>
        <v/>
      </c>
      <c r="C25" s="19">
        <f>B25/30</f>
        <v/>
      </c>
      <c r="D25" s="16">
        <f>IF(E25&lt;=24,"✓","")</f>
        <v/>
      </c>
      <c r="E25" s="16">
        <f>RANK(B25,B$5:B$37,0)</f>
        <v/>
      </c>
      <c r="G25" s="20">
        <f>IFERROR(INDEX(A$5:A$37,MATCH(SMALL(E$5:E$37,21),E$5:E$37,0)),"")</f>
        <v/>
      </c>
    </row>
    <row r="26">
      <c r="A26" s="16" t="inlineStr">
        <is>
          <t>22</t>
        </is>
      </c>
      <c r="B26" s="16">
        <f>COUNTIF('1-数据输入'!B5:G34,A26)</f>
        <v/>
      </c>
      <c r="C26" s="19">
        <f>B26/30</f>
        <v/>
      </c>
      <c r="D26" s="16">
        <f>IF(E26&lt;=24,"✓","")</f>
        <v/>
      </c>
      <c r="E26" s="16">
        <f>RANK(B26,B$5:B$37,0)</f>
        <v/>
      </c>
      <c r="G26" s="20">
        <f>IFERROR(INDEX(A$5:A$37,MATCH(SMALL(E$5:E$37,22),E$5:E$37,0)),"")</f>
        <v/>
      </c>
    </row>
    <row r="27">
      <c r="A27" s="16" t="inlineStr">
        <is>
          <t>23</t>
        </is>
      </c>
      <c r="B27" s="16">
        <f>COUNTIF('1-数据输入'!B5:G34,A27)</f>
        <v/>
      </c>
      <c r="C27" s="19">
        <f>B27/30</f>
        <v/>
      </c>
      <c r="D27" s="16">
        <f>IF(E27&lt;=24,"✓","")</f>
        <v/>
      </c>
      <c r="E27" s="16">
        <f>RANK(B27,B$5:B$37,0)</f>
        <v/>
      </c>
      <c r="G27" s="20">
        <f>IFERROR(INDEX(A$5:A$37,MATCH(SMALL(E$5:E$37,23),E$5:E$37,0)),"")</f>
        <v/>
      </c>
    </row>
    <row r="28">
      <c r="A28" s="16" t="inlineStr">
        <is>
          <t>24</t>
        </is>
      </c>
      <c r="B28" s="16">
        <f>COUNTIF('1-数据输入'!B5:G34,A28)</f>
        <v/>
      </c>
      <c r="C28" s="19">
        <f>B28/30</f>
        <v/>
      </c>
      <c r="D28" s="16">
        <f>IF(E28&lt;=24,"✓","")</f>
        <v/>
      </c>
      <c r="E28" s="16">
        <f>RANK(B28,B$5:B$37,0)</f>
        <v/>
      </c>
      <c r="G28" s="20">
        <f>IFERROR(INDEX(A$5:A$37,MATCH(SMALL(E$5:E$37,24),E$5:E$37,0)),"")</f>
        <v/>
      </c>
    </row>
    <row r="29">
      <c r="A29" s="16" t="inlineStr">
        <is>
          <t>25</t>
        </is>
      </c>
      <c r="B29" s="16">
        <f>COUNTIF('1-数据输入'!B5:G34,A29)</f>
        <v/>
      </c>
      <c r="C29" s="19">
        <f>B29/30</f>
        <v/>
      </c>
      <c r="D29" s="16">
        <f>IF(E29&lt;=24,"✓","")</f>
        <v/>
      </c>
      <c r="E29" s="16">
        <f>RANK(B29,B$5:B$37,0)</f>
        <v/>
      </c>
    </row>
    <row r="30">
      <c r="A30" s="16" t="inlineStr">
        <is>
          <t>26</t>
        </is>
      </c>
      <c r="B30" s="16">
        <f>COUNTIF('1-数据输入'!B5:G34,A30)</f>
        <v/>
      </c>
      <c r="C30" s="19">
        <f>B30/30</f>
        <v/>
      </c>
      <c r="D30" s="16">
        <f>IF(E30&lt;=24,"✓","")</f>
        <v/>
      </c>
      <c r="E30" s="16">
        <f>RANK(B30,B$5:B$37,0)</f>
        <v/>
      </c>
    </row>
    <row r="31">
      <c r="A31" s="16" t="inlineStr">
        <is>
          <t>27</t>
        </is>
      </c>
      <c r="B31" s="16">
        <f>COUNTIF('1-数据输入'!B5:G34,A31)</f>
        <v/>
      </c>
      <c r="C31" s="19">
        <f>B31/30</f>
        <v/>
      </c>
      <c r="D31" s="16">
        <f>IF(E31&lt;=24,"✓","")</f>
        <v/>
      </c>
      <c r="E31" s="16">
        <f>RANK(B31,B$5:B$37,0)</f>
        <v/>
      </c>
    </row>
    <row r="32">
      <c r="A32" s="16" t="inlineStr">
        <is>
          <t>28</t>
        </is>
      </c>
      <c r="B32" s="16">
        <f>COUNTIF('1-数据输入'!B5:G34,A32)</f>
        <v/>
      </c>
      <c r="C32" s="19">
        <f>B32/30</f>
        <v/>
      </c>
      <c r="D32" s="16">
        <f>IF(E32&lt;=24,"✓","")</f>
        <v/>
      </c>
      <c r="E32" s="16">
        <f>RANK(B32,B$5:B$37,0)</f>
        <v/>
      </c>
    </row>
    <row r="33">
      <c r="A33" s="16" t="inlineStr">
        <is>
          <t>29</t>
        </is>
      </c>
      <c r="B33" s="16">
        <f>COUNTIF('1-数据输入'!B5:G34,A33)</f>
        <v/>
      </c>
      <c r="C33" s="19">
        <f>B33/30</f>
        <v/>
      </c>
      <c r="D33" s="16">
        <f>IF(E33&lt;=24,"✓","")</f>
        <v/>
      </c>
      <c r="E33" s="16">
        <f>RANK(B33,B$5:B$37,0)</f>
        <v/>
      </c>
    </row>
    <row r="34">
      <c r="A34" s="16" t="inlineStr">
        <is>
          <t>30</t>
        </is>
      </c>
      <c r="B34" s="16">
        <f>COUNTIF('1-数据输入'!B5:G34,A34)</f>
        <v/>
      </c>
      <c r="C34" s="19">
        <f>B34/30</f>
        <v/>
      </c>
      <c r="D34" s="16">
        <f>IF(E34&lt;=24,"✓","")</f>
        <v/>
      </c>
      <c r="E34" s="16">
        <f>RANK(B34,B$5:B$37,0)</f>
        <v/>
      </c>
    </row>
    <row r="35">
      <c r="A35" s="16" t="inlineStr">
        <is>
          <t>31</t>
        </is>
      </c>
      <c r="B35" s="16">
        <f>COUNTIF('1-数据输入'!B5:G34,A35)</f>
        <v/>
      </c>
      <c r="C35" s="19">
        <f>B35/30</f>
        <v/>
      </c>
      <c r="D35" s="16">
        <f>IF(E35&lt;=24,"✓","")</f>
        <v/>
      </c>
      <c r="E35" s="16">
        <f>RANK(B35,B$5:B$37,0)</f>
        <v/>
      </c>
    </row>
    <row r="36">
      <c r="A36" s="16" t="inlineStr">
        <is>
          <t>32</t>
        </is>
      </c>
      <c r="B36" s="16">
        <f>COUNTIF('1-数据输入'!B5:G34,A36)</f>
        <v/>
      </c>
      <c r="C36" s="19">
        <f>B36/30</f>
        <v/>
      </c>
      <c r="D36" s="16">
        <f>IF(E36&lt;=24,"✓","")</f>
        <v/>
      </c>
      <c r="E36" s="16">
        <f>RANK(B36,B$5:B$37,0)</f>
        <v/>
      </c>
    </row>
    <row r="37">
      <c r="A37" s="16" t="inlineStr">
        <is>
          <t>33</t>
        </is>
      </c>
      <c r="B37" s="16">
        <f>COUNTIF('1-数据输入'!B5:G34,A37)</f>
        <v/>
      </c>
      <c r="C37" s="19">
        <f>B37/30</f>
        <v/>
      </c>
      <c r="D37" s="16">
        <f>IF(E37&lt;=24,"✓","")</f>
        <v/>
      </c>
      <c r="E37" s="16">
        <f>RANK(B37,B$5:B$37,0)</f>
        <v/>
      </c>
    </row>
  </sheetData>
  <mergeCells count="3">
    <mergeCell ref="A2:E2"/>
    <mergeCell ref="A1:E1"/>
    <mergeCell ref="G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4" t="inlineStr">
        <is>
          <t>自动生成投注方案</t>
        </is>
      </c>
    </row>
    <row r="2">
      <c r="A2" s="13" t="inlineStr">
        <is>
          <t>基于24码自动生成8-12注投注方案，80%使用模板A，20%使用模板B</t>
        </is>
      </c>
    </row>
    <row r="4">
      <c r="A4" s="4" t="inlineStr">
        <is>
          <t>模板A（80%）：</t>
        </is>
      </c>
      <c r="B4" s="9" t="inlineStr">
        <is>
          <t>3奇3偶 + 3小3大 + 连号≤1组 + 同尾≤1组</t>
        </is>
      </c>
    </row>
    <row r="5">
      <c r="A5" s="4" t="inlineStr">
        <is>
          <t>模板B（20%）：</t>
        </is>
      </c>
      <c r="B5" s="9" t="inlineStr">
        <is>
          <t>2奇4偶 + 2小4大 + 连号≤1组 + 同尾≤2组</t>
        </is>
      </c>
    </row>
    <row r="7">
      <c r="A7" s="17" t="inlineStr">
        <is>
          <t>期号</t>
        </is>
      </c>
      <c r="B7" s="17" t="inlineStr">
        <is>
          <t>注号</t>
        </is>
      </c>
      <c r="C7" s="17" t="inlineStr">
        <is>
          <t>模板</t>
        </is>
      </c>
      <c r="D7" s="17" t="inlineStr">
        <is>
          <t>红球1</t>
        </is>
      </c>
      <c r="E7" s="17" t="inlineStr">
        <is>
          <t>红球2</t>
        </is>
      </c>
      <c r="F7" s="17" t="inlineStr">
        <is>
          <t>红球3</t>
        </is>
      </c>
      <c r="G7" s="17" t="inlineStr">
        <is>
          <t>红球4</t>
        </is>
      </c>
      <c r="H7" s="17" t="inlineStr">
        <is>
          <t>红球5</t>
        </is>
      </c>
      <c r="I7" s="17" t="inlineStr">
        <is>
          <t>红球6</t>
        </is>
      </c>
      <c r="J7" s="17" t="inlineStr">
        <is>
          <t>蓝球</t>
        </is>
      </c>
      <c r="L7" s="21" t="inlineStr">
        <is>
          <t>方案生成指引</t>
        </is>
      </c>
    </row>
    <row r="8">
      <c r="A8" s="16">
        <f>'1-数据输入'!A5</f>
        <v/>
      </c>
      <c r="B8" s="16" t="n">
        <v>1</v>
      </c>
      <c r="C8" s="16" t="inlineStr">
        <is>
          <t>A</t>
        </is>
      </c>
      <c r="D8" s="16">
        <f>'2-24码分析'!G$7</f>
        <v/>
      </c>
      <c r="E8" s="16" t="n"/>
      <c r="F8" s="16" t="n"/>
      <c r="G8" s="16" t="n"/>
      <c r="H8" s="16" t="n"/>
      <c r="I8" s="16" t="n"/>
      <c r="J8" s="16" t="n"/>
      <c r="L8" t="inlineStr">
        <is>
          <t>1. 获取当期24码</t>
        </is>
      </c>
    </row>
    <row r="9">
      <c r="A9" s="16">
        <f>'1-数据输入'!A5</f>
        <v/>
      </c>
      <c r="B9" s="16" t="n">
        <v>2</v>
      </c>
      <c r="C9" s="16" t="inlineStr">
        <is>
          <t>A</t>
        </is>
      </c>
      <c r="D9" s="16">
        <f>'2-24码分析'!G$9</f>
        <v/>
      </c>
      <c r="E9" s="16" t="n"/>
      <c r="F9" s="16" t="n"/>
      <c r="G9" s="16" t="n"/>
      <c r="H9" s="16" t="n"/>
      <c r="I9" s="16" t="n"/>
      <c r="J9" s="16" t="n"/>
      <c r="L9" t="inlineStr">
        <is>
          <t>2. 生成8-12注方案</t>
        </is>
      </c>
    </row>
    <row r="10">
      <c r="A10" s="16">
        <f>'1-数据输入'!A5</f>
        <v/>
      </c>
      <c r="B10" s="16" t="n">
        <v>3</v>
      </c>
      <c r="C10" s="16" t="inlineStr">
        <is>
          <t>A</t>
        </is>
      </c>
      <c r="D10" s="16">
        <f>'2-24码分析'!G$11</f>
        <v/>
      </c>
      <c r="E10" s="16" t="n"/>
      <c r="F10" s="16" t="n"/>
      <c r="G10" s="16" t="n"/>
      <c r="H10" s="16" t="n"/>
      <c r="I10" s="16" t="n"/>
      <c r="J10" s="16" t="n"/>
      <c r="L10" t="inlineStr">
        <is>
          <t>3. 随机分配模板A/B</t>
        </is>
      </c>
    </row>
    <row r="11">
      <c r="A11" s="16">
        <f>'1-数据输入'!A5</f>
        <v/>
      </c>
      <c r="B11" s="16" t="n">
        <v>4</v>
      </c>
      <c r="C11" s="16" t="inlineStr">
        <is>
          <t>A</t>
        </is>
      </c>
      <c r="D11" s="16">
        <f>'2-24码分析'!G$13</f>
        <v/>
      </c>
      <c r="E11" s="16" t="n"/>
      <c r="F11" s="16" t="n"/>
      <c r="G11" s="16" t="n"/>
      <c r="H11" s="16" t="n"/>
      <c r="I11" s="16" t="n"/>
      <c r="J11" s="16" t="n"/>
      <c r="L11" t="inlineStr">
        <is>
          <t>4. 验证结构要求</t>
        </is>
      </c>
    </row>
    <row r="12">
      <c r="A12" s="16">
        <f>'1-数据输入'!A5</f>
        <v/>
      </c>
      <c r="B12" s="16" t="n">
        <v>5</v>
      </c>
      <c r="C12" s="16" t="inlineStr">
        <is>
          <t>A</t>
        </is>
      </c>
      <c r="D12" s="16">
        <f>'2-24码分析'!G$15</f>
        <v/>
      </c>
      <c r="E12" s="16" t="n"/>
      <c r="F12" s="16" t="n"/>
      <c r="G12" s="16" t="n"/>
      <c r="H12" s="16" t="n"/>
      <c r="I12" s="16" t="n"/>
      <c r="J12" s="16" t="n"/>
      <c r="L12" t="inlineStr">
        <is>
          <t>5. 自动填充蓝球</t>
        </is>
      </c>
    </row>
    <row r="13">
      <c r="A13" s="16">
        <f>'1-数据输入'!A5</f>
        <v/>
      </c>
      <c r="B13" s="16" t="n">
        <v>6</v>
      </c>
      <c r="C13" s="16" t="inlineStr">
        <is>
          <t>A</t>
        </is>
      </c>
      <c r="D13" s="16">
        <f>'2-24码分析'!G$17</f>
        <v/>
      </c>
      <c r="E13" s="16" t="n"/>
      <c r="F13" s="16" t="n"/>
      <c r="G13" s="16" t="n"/>
      <c r="H13" s="16" t="n"/>
      <c r="I13" s="16" t="n"/>
      <c r="J13" s="16" t="n"/>
    </row>
    <row r="14">
      <c r="A14" s="16">
        <f>'1-数据输入'!A5</f>
        <v/>
      </c>
      <c r="B14" s="16" t="n">
        <v>7</v>
      </c>
      <c r="C14" s="16" t="inlineStr">
        <is>
          <t>A</t>
        </is>
      </c>
      <c r="D14" s="16">
        <f>'2-24码分析'!G$19</f>
        <v/>
      </c>
      <c r="E14" s="16" t="n"/>
      <c r="F14" s="16" t="n"/>
      <c r="G14" s="16" t="n"/>
      <c r="H14" s="16" t="n"/>
      <c r="I14" s="16" t="n"/>
      <c r="J14" s="16" t="n"/>
    </row>
    <row r="15">
      <c r="A15" s="16">
        <f>'1-数据输入'!A5</f>
        <v/>
      </c>
      <c r="B15" s="16" t="n">
        <v>8</v>
      </c>
      <c r="C15" s="16" t="inlineStr">
        <is>
          <t>A</t>
        </is>
      </c>
      <c r="D15" s="16">
        <f>'2-24码分析'!G$21</f>
        <v/>
      </c>
      <c r="E15" s="16" t="n"/>
      <c r="F15" s="16" t="n"/>
      <c r="G15" s="16" t="n"/>
      <c r="H15" s="16" t="n"/>
      <c r="I15" s="16" t="n"/>
      <c r="J15" s="16" t="n"/>
    </row>
    <row r="16">
      <c r="A16" s="16">
        <f>'1-数据输入'!A5</f>
        <v/>
      </c>
      <c r="B16" s="16" t="n">
        <v>9</v>
      </c>
      <c r="C16" s="16" t="inlineStr">
        <is>
          <t>B</t>
        </is>
      </c>
      <c r="D16" s="16">
        <f>'2-24码分析'!G$23</f>
        <v/>
      </c>
      <c r="E16" s="16" t="n"/>
      <c r="F16" s="16" t="n"/>
      <c r="G16" s="16" t="n"/>
      <c r="H16" s="16" t="n"/>
      <c r="I16" s="16" t="n"/>
      <c r="J16" s="16" t="n"/>
    </row>
    <row r="17">
      <c r="A17" s="16">
        <f>'1-数据输入'!A5</f>
        <v/>
      </c>
      <c r="B17" s="16" t="n">
        <v>10</v>
      </c>
      <c r="C17" s="16" t="inlineStr">
        <is>
          <t>B</t>
        </is>
      </c>
      <c r="D17" s="16">
        <f>'2-24码分析'!G$25</f>
        <v/>
      </c>
      <c r="E17" s="16" t="n"/>
      <c r="F17" s="16" t="n"/>
      <c r="G17" s="16" t="n"/>
      <c r="H17" s="16" t="n"/>
      <c r="I17" s="16" t="n"/>
      <c r="J17" s="16" t="n"/>
    </row>
    <row r="18">
      <c r="A18" s="16">
        <f>'1-数据输入'!A6</f>
        <v/>
      </c>
      <c r="B18" s="16" t="n">
        <v>1</v>
      </c>
      <c r="C18" s="16" t="inlineStr">
        <is>
          <t>A</t>
        </is>
      </c>
      <c r="D18" s="16">
        <f>'2-24码分析'!G$7</f>
        <v/>
      </c>
      <c r="E18" s="16" t="n"/>
      <c r="F18" s="16" t="n"/>
      <c r="G18" s="16" t="n"/>
      <c r="H18" s="16" t="n"/>
      <c r="I18" s="16" t="n"/>
      <c r="J18" s="16" t="n"/>
    </row>
    <row r="19">
      <c r="A19" s="16">
        <f>'1-数据输入'!A6</f>
        <v/>
      </c>
      <c r="B19" s="16" t="n">
        <v>2</v>
      </c>
      <c r="C19" s="16" t="inlineStr">
        <is>
          <t>A</t>
        </is>
      </c>
      <c r="D19" s="16">
        <f>'2-24码分析'!G$9</f>
        <v/>
      </c>
      <c r="E19" s="16" t="n"/>
      <c r="F19" s="16" t="n"/>
      <c r="G19" s="16" t="n"/>
      <c r="H19" s="16" t="n"/>
      <c r="I19" s="16" t="n"/>
      <c r="J19" s="16" t="n"/>
    </row>
    <row r="20">
      <c r="A20" s="16">
        <f>'1-数据输入'!A6</f>
        <v/>
      </c>
      <c r="B20" s="16" t="n">
        <v>3</v>
      </c>
      <c r="C20" s="16" t="inlineStr">
        <is>
          <t>A</t>
        </is>
      </c>
      <c r="D20" s="16">
        <f>'2-24码分析'!G$11</f>
        <v/>
      </c>
      <c r="E20" s="16" t="n"/>
      <c r="F20" s="16" t="n"/>
      <c r="G20" s="16" t="n"/>
      <c r="H20" s="16" t="n"/>
      <c r="I20" s="16" t="n"/>
      <c r="J20" s="16" t="n"/>
    </row>
    <row r="21">
      <c r="A21" s="16">
        <f>'1-数据输入'!A6</f>
        <v/>
      </c>
      <c r="B21" s="16" t="n">
        <v>4</v>
      </c>
      <c r="C21" s="16" t="inlineStr">
        <is>
          <t>A</t>
        </is>
      </c>
      <c r="D21" s="16">
        <f>'2-24码分析'!G$13</f>
        <v/>
      </c>
      <c r="E21" s="16" t="n"/>
      <c r="F21" s="16" t="n"/>
      <c r="G21" s="16" t="n"/>
      <c r="H21" s="16" t="n"/>
      <c r="I21" s="16" t="n"/>
      <c r="J21" s="16" t="n"/>
    </row>
    <row r="22">
      <c r="A22" s="16">
        <f>'1-数据输入'!A6</f>
        <v/>
      </c>
      <c r="B22" s="16" t="n">
        <v>5</v>
      </c>
      <c r="C22" s="16" t="inlineStr">
        <is>
          <t>A</t>
        </is>
      </c>
      <c r="D22" s="16">
        <f>'2-24码分析'!G$15</f>
        <v/>
      </c>
      <c r="E22" s="16" t="n"/>
      <c r="F22" s="16" t="n"/>
      <c r="G22" s="16" t="n"/>
      <c r="H22" s="16" t="n"/>
      <c r="I22" s="16" t="n"/>
      <c r="J22" s="16" t="n"/>
    </row>
    <row r="23">
      <c r="A23" s="16">
        <f>'1-数据输入'!A6</f>
        <v/>
      </c>
      <c r="B23" s="16" t="n">
        <v>6</v>
      </c>
      <c r="C23" s="16" t="inlineStr">
        <is>
          <t>A</t>
        </is>
      </c>
      <c r="D23" s="16">
        <f>'2-24码分析'!G$17</f>
        <v/>
      </c>
      <c r="E23" s="16" t="n"/>
      <c r="F23" s="16" t="n"/>
      <c r="G23" s="16" t="n"/>
      <c r="H23" s="16" t="n"/>
      <c r="I23" s="16" t="n"/>
      <c r="J23" s="16" t="n"/>
    </row>
    <row r="24">
      <c r="A24" s="16">
        <f>'1-数据输入'!A6</f>
        <v/>
      </c>
      <c r="B24" s="16" t="n">
        <v>7</v>
      </c>
      <c r="C24" s="16" t="inlineStr">
        <is>
          <t>A</t>
        </is>
      </c>
      <c r="D24" s="16">
        <f>'2-24码分析'!G$19</f>
        <v/>
      </c>
      <c r="E24" s="16" t="n"/>
      <c r="F24" s="16" t="n"/>
      <c r="G24" s="16" t="n"/>
      <c r="H24" s="16" t="n"/>
      <c r="I24" s="16" t="n"/>
      <c r="J24" s="16" t="n"/>
    </row>
    <row r="25">
      <c r="A25" s="16">
        <f>'1-数据输入'!A6</f>
        <v/>
      </c>
      <c r="B25" s="16" t="n">
        <v>8</v>
      </c>
      <c r="C25" s="16" t="inlineStr">
        <is>
          <t>A</t>
        </is>
      </c>
      <c r="D25" s="16">
        <f>'2-24码分析'!G$21</f>
        <v/>
      </c>
      <c r="E25" s="16" t="n"/>
      <c r="F25" s="16" t="n"/>
      <c r="G25" s="16" t="n"/>
      <c r="H25" s="16" t="n"/>
      <c r="I25" s="16" t="n"/>
      <c r="J25" s="16" t="n"/>
    </row>
    <row r="26">
      <c r="A26" s="16">
        <f>'1-数据输入'!A6</f>
        <v/>
      </c>
      <c r="B26" s="16" t="n">
        <v>9</v>
      </c>
      <c r="C26" s="16" t="inlineStr">
        <is>
          <t>B</t>
        </is>
      </c>
      <c r="D26" s="16">
        <f>'2-24码分析'!G$23</f>
        <v/>
      </c>
      <c r="E26" s="16" t="n"/>
      <c r="F26" s="16" t="n"/>
      <c r="G26" s="16" t="n"/>
      <c r="H26" s="16" t="n"/>
      <c r="I26" s="16" t="n"/>
      <c r="J26" s="16" t="n"/>
    </row>
    <row r="27">
      <c r="A27" s="16">
        <f>'1-数据输入'!A6</f>
        <v/>
      </c>
      <c r="B27" s="16" t="n">
        <v>10</v>
      </c>
      <c r="C27" s="16" t="inlineStr">
        <is>
          <t>B</t>
        </is>
      </c>
      <c r="D27" s="16">
        <f>'2-24码分析'!G$25</f>
        <v/>
      </c>
      <c r="E27" s="16" t="n"/>
      <c r="F27" s="16" t="n"/>
      <c r="G27" s="16" t="n"/>
      <c r="H27" s="16" t="n"/>
      <c r="I27" s="16" t="n"/>
      <c r="J27" s="16" t="n"/>
    </row>
    <row r="28">
      <c r="A28" s="16">
        <f>'1-数据输入'!A7</f>
        <v/>
      </c>
      <c r="B28" s="16" t="n">
        <v>1</v>
      </c>
      <c r="C28" s="16" t="inlineStr">
        <is>
          <t>A</t>
        </is>
      </c>
      <c r="D28" s="16">
        <f>'2-24码分析'!G$7</f>
        <v/>
      </c>
      <c r="E28" s="16" t="n"/>
      <c r="F28" s="16" t="n"/>
      <c r="G28" s="16" t="n"/>
      <c r="H28" s="16" t="n"/>
      <c r="I28" s="16" t="n"/>
      <c r="J28" s="16" t="n"/>
    </row>
    <row r="29">
      <c r="A29" s="16">
        <f>'1-数据输入'!A7</f>
        <v/>
      </c>
      <c r="B29" s="16" t="n">
        <v>2</v>
      </c>
      <c r="C29" s="16" t="inlineStr">
        <is>
          <t>A</t>
        </is>
      </c>
      <c r="D29" s="16">
        <f>'2-24码分析'!G$9</f>
        <v/>
      </c>
      <c r="E29" s="16" t="n"/>
      <c r="F29" s="16" t="n"/>
      <c r="G29" s="16" t="n"/>
      <c r="H29" s="16" t="n"/>
      <c r="I29" s="16" t="n"/>
      <c r="J29" s="16" t="n"/>
    </row>
    <row r="30">
      <c r="A30" s="16">
        <f>'1-数据输入'!A7</f>
        <v/>
      </c>
      <c r="B30" s="16" t="n">
        <v>3</v>
      </c>
      <c r="C30" s="16" t="inlineStr">
        <is>
          <t>A</t>
        </is>
      </c>
      <c r="D30" s="16">
        <f>'2-24码分析'!G$11</f>
        <v/>
      </c>
      <c r="E30" s="16" t="n"/>
      <c r="F30" s="16" t="n"/>
      <c r="G30" s="16" t="n"/>
      <c r="H30" s="16" t="n"/>
      <c r="I30" s="16" t="n"/>
      <c r="J30" s="16" t="n"/>
    </row>
    <row r="31">
      <c r="A31" s="16">
        <f>'1-数据输入'!A7</f>
        <v/>
      </c>
      <c r="B31" s="16" t="n">
        <v>4</v>
      </c>
      <c r="C31" s="16" t="inlineStr">
        <is>
          <t>A</t>
        </is>
      </c>
      <c r="D31" s="16">
        <f>'2-24码分析'!G$13</f>
        <v/>
      </c>
      <c r="E31" s="16" t="n"/>
      <c r="F31" s="16" t="n"/>
      <c r="G31" s="16" t="n"/>
      <c r="H31" s="16" t="n"/>
      <c r="I31" s="16" t="n"/>
      <c r="J31" s="16" t="n"/>
    </row>
    <row r="32">
      <c r="A32" s="16">
        <f>'1-数据输入'!A7</f>
        <v/>
      </c>
      <c r="B32" s="16" t="n">
        <v>5</v>
      </c>
      <c r="C32" s="16" t="inlineStr">
        <is>
          <t>A</t>
        </is>
      </c>
      <c r="D32" s="16">
        <f>'2-24码分析'!G$15</f>
        <v/>
      </c>
      <c r="E32" s="16" t="n"/>
      <c r="F32" s="16" t="n"/>
      <c r="G32" s="16" t="n"/>
      <c r="H32" s="16" t="n"/>
      <c r="I32" s="16" t="n"/>
      <c r="J32" s="16" t="n"/>
    </row>
    <row r="33">
      <c r="A33" s="16">
        <f>'1-数据输入'!A7</f>
        <v/>
      </c>
      <c r="B33" s="16" t="n">
        <v>6</v>
      </c>
      <c r="C33" s="16" t="inlineStr">
        <is>
          <t>A</t>
        </is>
      </c>
      <c r="D33" s="16">
        <f>'2-24码分析'!G$17</f>
        <v/>
      </c>
      <c r="E33" s="16" t="n"/>
      <c r="F33" s="16" t="n"/>
      <c r="G33" s="16" t="n"/>
      <c r="H33" s="16" t="n"/>
      <c r="I33" s="16" t="n"/>
      <c r="J33" s="16" t="n"/>
    </row>
    <row r="34">
      <c r="A34" s="16">
        <f>'1-数据输入'!A7</f>
        <v/>
      </c>
      <c r="B34" s="16" t="n">
        <v>7</v>
      </c>
      <c r="C34" s="16" t="inlineStr">
        <is>
          <t>A</t>
        </is>
      </c>
      <c r="D34" s="16">
        <f>'2-24码分析'!G$19</f>
        <v/>
      </c>
      <c r="E34" s="16" t="n"/>
      <c r="F34" s="16" t="n"/>
      <c r="G34" s="16" t="n"/>
      <c r="H34" s="16" t="n"/>
      <c r="I34" s="16" t="n"/>
      <c r="J34" s="16" t="n"/>
    </row>
    <row r="35">
      <c r="A35" s="16">
        <f>'1-数据输入'!A7</f>
        <v/>
      </c>
      <c r="B35" s="16" t="n">
        <v>8</v>
      </c>
      <c r="C35" s="16" t="inlineStr">
        <is>
          <t>A</t>
        </is>
      </c>
      <c r="D35" s="16">
        <f>'2-24码分析'!G$21</f>
        <v/>
      </c>
      <c r="E35" s="16" t="n"/>
      <c r="F35" s="16" t="n"/>
      <c r="G35" s="16" t="n"/>
      <c r="H35" s="16" t="n"/>
      <c r="I35" s="16" t="n"/>
      <c r="J35" s="16" t="n"/>
    </row>
    <row r="36">
      <c r="A36" s="16">
        <f>'1-数据输入'!A7</f>
        <v/>
      </c>
      <c r="B36" s="16" t="n">
        <v>9</v>
      </c>
      <c r="C36" s="16" t="inlineStr">
        <is>
          <t>B</t>
        </is>
      </c>
      <c r="D36" s="16">
        <f>'2-24码分析'!G$23</f>
        <v/>
      </c>
      <c r="E36" s="16" t="n"/>
      <c r="F36" s="16" t="n"/>
      <c r="G36" s="16" t="n"/>
      <c r="H36" s="16" t="n"/>
      <c r="I36" s="16" t="n"/>
      <c r="J36" s="16" t="n"/>
    </row>
    <row r="37">
      <c r="A37" s="16">
        <f>'1-数据输入'!A7</f>
        <v/>
      </c>
      <c r="B37" s="16" t="n">
        <v>10</v>
      </c>
      <c r="C37" s="16" t="inlineStr">
        <is>
          <t>B</t>
        </is>
      </c>
      <c r="D37" s="16">
        <f>'2-24码分析'!G$25</f>
        <v/>
      </c>
      <c r="E37" s="16" t="n"/>
      <c r="F37" s="16" t="n"/>
      <c r="G37" s="16" t="n"/>
      <c r="H37" s="16" t="n"/>
      <c r="I37" s="16" t="n"/>
      <c r="J37" s="16" t="n"/>
    </row>
    <row r="38">
      <c r="A38" s="16">
        <f>'1-数据输入'!A8</f>
        <v/>
      </c>
      <c r="B38" s="16" t="n">
        <v>1</v>
      </c>
      <c r="C38" s="16" t="inlineStr">
        <is>
          <t>A</t>
        </is>
      </c>
      <c r="D38" s="16">
        <f>'2-24码分析'!G$7</f>
        <v/>
      </c>
      <c r="E38" s="16" t="n"/>
      <c r="F38" s="16" t="n"/>
      <c r="G38" s="16" t="n"/>
      <c r="H38" s="16" t="n"/>
      <c r="I38" s="16" t="n"/>
      <c r="J38" s="16" t="n"/>
    </row>
    <row r="39">
      <c r="A39" s="16">
        <f>'1-数据输入'!A8</f>
        <v/>
      </c>
      <c r="B39" s="16" t="n">
        <v>2</v>
      </c>
      <c r="C39" s="16" t="inlineStr">
        <is>
          <t>A</t>
        </is>
      </c>
      <c r="D39" s="16">
        <f>'2-24码分析'!G$9</f>
        <v/>
      </c>
      <c r="E39" s="16" t="n"/>
      <c r="F39" s="16" t="n"/>
      <c r="G39" s="16" t="n"/>
      <c r="H39" s="16" t="n"/>
      <c r="I39" s="16" t="n"/>
      <c r="J39" s="16" t="n"/>
    </row>
    <row r="40">
      <c r="A40" s="16">
        <f>'1-数据输入'!A8</f>
        <v/>
      </c>
      <c r="B40" s="16" t="n">
        <v>3</v>
      </c>
      <c r="C40" s="16" t="inlineStr">
        <is>
          <t>A</t>
        </is>
      </c>
      <c r="D40" s="16">
        <f>'2-24码分析'!G$11</f>
        <v/>
      </c>
      <c r="E40" s="16" t="n"/>
      <c r="F40" s="16" t="n"/>
      <c r="G40" s="16" t="n"/>
      <c r="H40" s="16" t="n"/>
      <c r="I40" s="16" t="n"/>
      <c r="J40" s="16" t="n"/>
    </row>
    <row r="41">
      <c r="A41" s="16">
        <f>'1-数据输入'!A8</f>
        <v/>
      </c>
      <c r="B41" s="16" t="n">
        <v>4</v>
      </c>
      <c r="C41" s="16" t="inlineStr">
        <is>
          <t>A</t>
        </is>
      </c>
      <c r="D41" s="16">
        <f>'2-24码分析'!G$13</f>
        <v/>
      </c>
      <c r="E41" s="16" t="n"/>
      <c r="F41" s="16" t="n"/>
      <c r="G41" s="16" t="n"/>
      <c r="H41" s="16" t="n"/>
      <c r="I41" s="16" t="n"/>
      <c r="J41" s="16" t="n"/>
    </row>
    <row r="42">
      <c r="A42" s="16">
        <f>'1-数据输入'!A8</f>
        <v/>
      </c>
      <c r="B42" s="16" t="n">
        <v>5</v>
      </c>
      <c r="C42" s="16" t="inlineStr">
        <is>
          <t>A</t>
        </is>
      </c>
      <c r="D42" s="16">
        <f>'2-24码分析'!G$15</f>
        <v/>
      </c>
      <c r="E42" s="16" t="n"/>
      <c r="F42" s="16" t="n"/>
      <c r="G42" s="16" t="n"/>
      <c r="H42" s="16" t="n"/>
      <c r="I42" s="16" t="n"/>
      <c r="J42" s="16" t="n"/>
    </row>
    <row r="43">
      <c r="A43" s="16">
        <f>'1-数据输入'!A8</f>
        <v/>
      </c>
      <c r="B43" s="16" t="n">
        <v>6</v>
      </c>
      <c r="C43" s="16" t="inlineStr">
        <is>
          <t>A</t>
        </is>
      </c>
      <c r="D43" s="16">
        <f>'2-24码分析'!G$17</f>
        <v/>
      </c>
      <c r="E43" s="16" t="n"/>
      <c r="F43" s="16" t="n"/>
      <c r="G43" s="16" t="n"/>
      <c r="H43" s="16" t="n"/>
      <c r="I43" s="16" t="n"/>
      <c r="J43" s="16" t="n"/>
    </row>
    <row r="44">
      <c r="A44" s="16">
        <f>'1-数据输入'!A8</f>
        <v/>
      </c>
      <c r="B44" s="16" t="n">
        <v>7</v>
      </c>
      <c r="C44" s="16" t="inlineStr">
        <is>
          <t>A</t>
        </is>
      </c>
      <c r="D44" s="16">
        <f>'2-24码分析'!G$19</f>
        <v/>
      </c>
      <c r="E44" s="16" t="n"/>
      <c r="F44" s="16" t="n"/>
      <c r="G44" s="16" t="n"/>
      <c r="H44" s="16" t="n"/>
      <c r="I44" s="16" t="n"/>
      <c r="J44" s="16" t="n"/>
    </row>
    <row r="45">
      <c r="A45" s="16">
        <f>'1-数据输入'!A8</f>
        <v/>
      </c>
      <c r="B45" s="16" t="n">
        <v>8</v>
      </c>
      <c r="C45" s="16" t="inlineStr">
        <is>
          <t>A</t>
        </is>
      </c>
      <c r="D45" s="16">
        <f>'2-24码分析'!G$21</f>
        <v/>
      </c>
      <c r="E45" s="16" t="n"/>
      <c r="F45" s="16" t="n"/>
      <c r="G45" s="16" t="n"/>
      <c r="H45" s="16" t="n"/>
      <c r="I45" s="16" t="n"/>
      <c r="J45" s="16" t="n"/>
    </row>
    <row r="46">
      <c r="A46" s="16">
        <f>'1-数据输入'!A8</f>
        <v/>
      </c>
      <c r="B46" s="16" t="n">
        <v>9</v>
      </c>
      <c r="C46" s="16" t="inlineStr">
        <is>
          <t>B</t>
        </is>
      </c>
      <c r="D46" s="16">
        <f>'2-24码分析'!G$23</f>
        <v/>
      </c>
      <c r="E46" s="16" t="n"/>
      <c r="F46" s="16" t="n"/>
      <c r="G46" s="16" t="n"/>
      <c r="H46" s="16" t="n"/>
      <c r="I46" s="16" t="n"/>
      <c r="J46" s="16" t="n"/>
    </row>
    <row r="47">
      <c r="A47" s="16">
        <f>'1-数据输入'!A8</f>
        <v/>
      </c>
      <c r="B47" s="16" t="n">
        <v>10</v>
      </c>
      <c r="C47" s="16" t="inlineStr">
        <is>
          <t>B</t>
        </is>
      </c>
      <c r="D47" s="16">
        <f>'2-24码分析'!G$25</f>
        <v/>
      </c>
      <c r="E47" s="16" t="n"/>
      <c r="F47" s="16" t="n"/>
      <c r="G47" s="16" t="n"/>
      <c r="H47" s="16" t="n"/>
      <c r="I47" s="16" t="n"/>
      <c r="J47" s="16" t="n"/>
    </row>
    <row r="48">
      <c r="A48" s="16">
        <f>'1-数据输入'!A9</f>
        <v/>
      </c>
      <c r="B48" s="16" t="n">
        <v>1</v>
      </c>
      <c r="C48" s="16" t="inlineStr">
        <is>
          <t>A</t>
        </is>
      </c>
      <c r="D48" s="16">
        <f>'2-24码分析'!G$7</f>
        <v/>
      </c>
      <c r="E48" s="16" t="n"/>
      <c r="F48" s="16" t="n"/>
      <c r="G48" s="16" t="n"/>
      <c r="H48" s="16" t="n"/>
      <c r="I48" s="16" t="n"/>
      <c r="J48" s="16" t="n"/>
    </row>
    <row r="49">
      <c r="A49" s="16">
        <f>'1-数据输入'!A9</f>
        <v/>
      </c>
      <c r="B49" s="16" t="n">
        <v>2</v>
      </c>
      <c r="C49" s="16" t="inlineStr">
        <is>
          <t>A</t>
        </is>
      </c>
      <c r="D49" s="16">
        <f>'2-24码分析'!G$9</f>
        <v/>
      </c>
      <c r="E49" s="16" t="n"/>
      <c r="F49" s="16" t="n"/>
      <c r="G49" s="16" t="n"/>
      <c r="H49" s="16" t="n"/>
      <c r="I49" s="16" t="n"/>
      <c r="J49" s="16" t="n"/>
    </row>
    <row r="50">
      <c r="A50" s="16">
        <f>'1-数据输入'!A9</f>
        <v/>
      </c>
      <c r="B50" s="16" t="n">
        <v>3</v>
      </c>
      <c r="C50" s="16" t="inlineStr">
        <is>
          <t>A</t>
        </is>
      </c>
      <c r="D50" s="16">
        <f>'2-24码分析'!G$11</f>
        <v/>
      </c>
      <c r="E50" s="16" t="n"/>
      <c r="F50" s="16" t="n"/>
      <c r="G50" s="16" t="n"/>
      <c r="H50" s="16" t="n"/>
      <c r="I50" s="16" t="n"/>
      <c r="J50" s="16" t="n"/>
    </row>
    <row r="51">
      <c r="A51" s="16">
        <f>'1-数据输入'!A9</f>
        <v/>
      </c>
      <c r="B51" s="16" t="n">
        <v>4</v>
      </c>
      <c r="C51" s="16" t="inlineStr">
        <is>
          <t>A</t>
        </is>
      </c>
      <c r="D51" s="16">
        <f>'2-24码分析'!G$13</f>
        <v/>
      </c>
      <c r="E51" s="16" t="n"/>
      <c r="F51" s="16" t="n"/>
      <c r="G51" s="16" t="n"/>
      <c r="H51" s="16" t="n"/>
      <c r="I51" s="16" t="n"/>
      <c r="J51" s="16" t="n"/>
    </row>
    <row r="52">
      <c r="A52" s="16">
        <f>'1-数据输入'!A9</f>
        <v/>
      </c>
      <c r="B52" s="16" t="n">
        <v>5</v>
      </c>
      <c r="C52" s="16" t="inlineStr">
        <is>
          <t>A</t>
        </is>
      </c>
      <c r="D52" s="16">
        <f>'2-24码分析'!G$15</f>
        <v/>
      </c>
      <c r="E52" s="16" t="n"/>
      <c r="F52" s="16" t="n"/>
      <c r="G52" s="16" t="n"/>
      <c r="H52" s="16" t="n"/>
      <c r="I52" s="16" t="n"/>
      <c r="J52" s="16" t="n"/>
    </row>
    <row r="53">
      <c r="A53" s="16">
        <f>'1-数据输入'!A9</f>
        <v/>
      </c>
      <c r="B53" s="16" t="n">
        <v>6</v>
      </c>
      <c r="C53" s="16" t="inlineStr">
        <is>
          <t>A</t>
        </is>
      </c>
      <c r="D53" s="16">
        <f>'2-24码分析'!G$17</f>
        <v/>
      </c>
      <c r="E53" s="16" t="n"/>
      <c r="F53" s="16" t="n"/>
      <c r="G53" s="16" t="n"/>
      <c r="H53" s="16" t="n"/>
      <c r="I53" s="16" t="n"/>
      <c r="J53" s="16" t="n"/>
    </row>
    <row r="54">
      <c r="A54" s="16">
        <f>'1-数据输入'!A9</f>
        <v/>
      </c>
      <c r="B54" s="16" t="n">
        <v>7</v>
      </c>
      <c r="C54" s="16" t="inlineStr">
        <is>
          <t>A</t>
        </is>
      </c>
      <c r="D54" s="16">
        <f>'2-24码分析'!G$19</f>
        <v/>
      </c>
      <c r="E54" s="16" t="n"/>
      <c r="F54" s="16" t="n"/>
      <c r="G54" s="16" t="n"/>
      <c r="H54" s="16" t="n"/>
      <c r="I54" s="16" t="n"/>
      <c r="J54" s="16" t="n"/>
    </row>
    <row r="55">
      <c r="A55" s="16">
        <f>'1-数据输入'!A9</f>
        <v/>
      </c>
      <c r="B55" s="16" t="n">
        <v>8</v>
      </c>
      <c r="C55" s="16" t="inlineStr">
        <is>
          <t>A</t>
        </is>
      </c>
      <c r="D55" s="16">
        <f>'2-24码分析'!G$21</f>
        <v/>
      </c>
      <c r="E55" s="16" t="n"/>
      <c r="F55" s="16" t="n"/>
      <c r="G55" s="16" t="n"/>
      <c r="H55" s="16" t="n"/>
      <c r="I55" s="16" t="n"/>
      <c r="J55" s="16" t="n"/>
    </row>
    <row r="56">
      <c r="A56" s="16">
        <f>'1-数据输入'!A9</f>
        <v/>
      </c>
      <c r="B56" s="16" t="n">
        <v>9</v>
      </c>
      <c r="C56" s="16" t="inlineStr">
        <is>
          <t>B</t>
        </is>
      </c>
      <c r="D56" s="16">
        <f>'2-24码分析'!G$23</f>
        <v/>
      </c>
      <c r="E56" s="16" t="n"/>
      <c r="F56" s="16" t="n"/>
      <c r="G56" s="16" t="n"/>
      <c r="H56" s="16" t="n"/>
      <c r="I56" s="16" t="n"/>
      <c r="J56" s="16" t="n"/>
    </row>
    <row r="57">
      <c r="A57" s="16">
        <f>'1-数据输入'!A9</f>
        <v/>
      </c>
      <c r="B57" s="16" t="n">
        <v>10</v>
      </c>
      <c r="C57" s="16" t="inlineStr">
        <is>
          <t>B</t>
        </is>
      </c>
      <c r="D57" s="16">
        <f>'2-24码分析'!G$25</f>
        <v/>
      </c>
      <c r="E57" s="16" t="n"/>
      <c r="F57" s="16" t="n"/>
      <c r="G57" s="16" t="n"/>
      <c r="H57" s="16" t="n"/>
      <c r="I57" s="16" t="n"/>
      <c r="J57" s="16" t="n"/>
    </row>
    <row r="58">
      <c r="A58" s="16">
        <f>'1-数据输入'!A10</f>
        <v/>
      </c>
      <c r="B58" s="16" t="n">
        <v>1</v>
      </c>
      <c r="C58" s="16" t="inlineStr">
        <is>
          <t>A</t>
        </is>
      </c>
      <c r="D58" s="16">
        <f>'2-24码分析'!G$7</f>
        <v/>
      </c>
      <c r="E58" s="16" t="n"/>
      <c r="F58" s="16" t="n"/>
      <c r="G58" s="16" t="n"/>
      <c r="H58" s="16" t="n"/>
      <c r="I58" s="16" t="n"/>
      <c r="J58" s="16" t="n"/>
    </row>
    <row r="59">
      <c r="A59" s="16">
        <f>'1-数据输入'!A10</f>
        <v/>
      </c>
      <c r="B59" s="16" t="n">
        <v>2</v>
      </c>
      <c r="C59" s="16" t="inlineStr">
        <is>
          <t>A</t>
        </is>
      </c>
      <c r="D59" s="16">
        <f>'2-24码分析'!G$9</f>
        <v/>
      </c>
      <c r="E59" s="16" t="n"/>
      <c r="F59" s="16" t="n"/>
      <c r="G59" s="16" t="n"/>
      <c r="H59" s="16" t="n"/>
      <c r="I59" s="16" t="n"/>
      <c r="J59" s="16" t="n"/>
    </row>
    <row r="60">
      <c r="A60" s="16">
        <f>'1-数据输入'!A10</f>
        <v/>
      </c>
      <c r="B60" s="16" t="n">
        <v>3</v>
      </c>
      <c r="C60" s="16" t="inlineStr">
        <is>
          <t>A</t>
        </is>
      </c>
      <c r="D60" s="16">
        <f>'2-24码分析'!G$11</f>
        <v/>
      </c>
      <c r="E60" s="16" t="n"/>
      <c r="F60" s="16" t="n"/>
      <c r="G60" s="16" t="n"/>
      <c r="H60" s="16" t="n"/>
      <c r="I60" s="16" t="n"/>
      <c r="J60" s="16" t="n"/>
    </row>
    <row r="61">
      <c r="A61" s="16">
        <f>'1-数据输入'!A10</f>
        <v/>
      </c>
      <c r="B61" s="16" t="n">
        <v>4</v>
      </c>
      <c r="C61" s="16" t="inlineStr">
        <is>
          <t>A</t>
        </is>
      </c>
      <c r="D61" s="16">
        <f>'2-24码分析'!G$13</f>
        <v/>
      </c>
      <c r="E61" s="16" t="n"/>
      <c r="F61" s="16" t="n"/>
      <c r="G61" s="16" t="n"/>
      <c r="H61" s="16" t="n"/>
      <c r="I61" s="16" t="n"/>
      <c r="J61" s="16" t="n"/>
    </row>
    <row r="62">
      <c r="A62" s="16">
        <f>'1-数据输入'!A10</f>
        <v/>
      </c>
      <c r="B62" s="16" t="n">
        <v>5</v>
      </c>
      <c r="C62" s="16" t="inlineStr">
        <is>
          <t>A</t>
        </is>
      </c>
      <c r="D62" s="16">
        <f>'2-24码分析'!G$15</f>
        <v/>
      </c>
      <c r="E62" s="16" t="n"/>
      <c r="F62" s="16" t="n"/>
      <c r="G62" s="16" t="n"/>
      <c r="H62" s="16" t="n"/>
      <c r="I62" s="16" t="n"/>
      <c r="J62" s="16" t="n"/>
    </row>
    <row r="63">
      <c r="A63" s="16">
        <f>'1-数据输入'!A10</f>
        <v/>
      </c>
      <c r="B63" s="16" t="n">
        <v>6</v>
      </c>
      <c r="C63" s="16" t="inlineStr">
        <is>
          <t>A</t>
        </is>
      </c>
      <c r="D63" s="16">
        <f>'2-24码分析'!G$17</f>
        <v/>
      </c>
      <c r="E63" s="16" t="n"/>
      <c r="F63" s="16" t="n"/>
      <c r="G63" s="16" t="n"/>
      <c r="H63" s="16" t="n"/>
      <c r="I63" s="16" t="n"/>
      <c r="J63" s="16" t="n"/>
    </row>
    <row r="64">
      <c r="A64" s="16">
        <f>'1-数据输入'!A10</f>
        <v/>
      </c>
      <c r="B64" s="16" t="n">
        <v>7</v>
      </c>
      <c r="C64" s="16" t="inlineStr">
        <is>
          <t>A</t>
        </is>
      </c>
      <c r="D64" s="16">
        <f>'2-24码分析'!G$19</f>
        <v/>
      </c>
      <c r="E64" s="16" t="n"/>
      <c r="F64" s="16" t="n"/>
      <c r="G64" s="16" t="n"/>
      <c r="H64" s="16" t="n"/>
      <c r="I64" s="16" t="n"/>
      <c r="J64" s="16" t="n"/>
    </row>
    <row r="65">
      <c r="A65" s="16">
        <f>'1-数据输入'!A10</f>
        <v/>
      </c>
      <c r="B65" s="16" t="n">
        <v>8</v>
      </c>
      <c r="C65" s="16" t="inlineStr">
        <is>
          <t>A</t>
        </is>
      </c>
      <c r="D65" s="16">
        <f>'2-24码分析'!G$21</f>
        <v/>
      </c>
      <c r="E65" s="16" t="n"/>
      <c r="F65" s="16" t="n"/>
      <c r="G65" s="16" t="n"/>
      <c r="H65" s="16" t="n"/>
      <c r="I65" s="16" t="n"/>
      <c r="J65" s="16" t="n"/>
    </row>
    <row r="66">
      <c r="A66" s="16">
        <f>'1-数据输入'!A10</f>
        <v/>
      </c>
      <c r="B66" s="16" t="n">
        <v>9</v>
      </c>
      <c r="C66" s="16" t="inlineStr">
        <is>
          <t>B</t>
        </is>
      </c>
      <c r="D66" s="16">
        <f>'2-24码分析'!G$23</f>
        <v/>
      </c>
      <c r="E66" s="16" t="n"/>
      <c r="F66" s="16" t="n"/>
      <c r="G66" s="16" t="n"/>
      <c r="H66" s="16" t="n"/>
      <c r="I66" s="16" t="n"/>
      <c r="J66" s="16" t="n"/>
    </row>
    <row r="67">
      <c r="A67" s="16">
        <f>'1-数据输入'!A10</f>
        <v/>
      </c>
      <c r="B67" s="16" t="n">
        <v>10</v>
      </c>
      <c r="C67" s="16" t="inlineStr">
        <is>
          <t>B</t>
        </is>
      </c>
      <c r="D67" s="16">
        <f>'2-24码分析'!G$25</f>
        <v/>
      </c>
      <c r="E67" s="16" t="n"/>
      <c r="F67" s="16" t="n"/>
      <c r="G67" s="16" t="n"/>
      <c r="H67" s="16" t="n"/>
      <c r="I67" s="16" t="n"/>
      <c r="J67" s="16" t="n"/>
    </row>
    <row r="68">
      <c r="A68" s="16">
        <f>'1-数据输入'!A11</f>
        <v/>
      </c>
      <c r="B68" s="16" t="n">
        <v>1</v>
      </c>
      <c r="C68" s="16" t="inlineStr">
        <is>
          <t>A</t>
        </is>
      </c>
      <c r="D68" s="16">
        <f>'2-24码分析'!G$7</f>
        <v/>
      </c>
      <c r="E68" s="16" t="n"/>
      <c r="F68" s="16" t="n"/>
      <c r="G68" s="16" t="n"/>
      <c r="H68" s="16" t="n"/>
      <c r="I68" s="16" t="n"/>
      <c r="J68" s="16" t="n"/>
    </row>
    <row r="69">
      <c r="A69" s="16">
        <f>'1-数据输入'!A11</f>
        <v/>
      </c>
      <c r="B69" s="16" t="n">
        <v>2</v>
      </c>
      <c r="C69" s="16" t="inlineStr">
        <is>
          <t>A</t>
        </is>
      </c>
      <c r="D69" s="16">
        <f>'2-24码分析'!G$9</f>
        <v/>
      </c>
      <c r="E69" s="16" t="n"/>
      <c r="F69" s="16" t="n"/>
      <c r="G69" s="16" t="n"/>
      <c r="H69" s="16" t="n"/>
      <c r="I69" s="16" t="n"/>
      <c r="J69" s="16" t="n"/>
    </row>
    <row r="70">
      <c r="A70" s="16">
        <f>'1-数据输入'!A11</f>
        <v/>
      </c>
      <c r="B70" s="16" t="n">
        <v>3</v>
      </c>
      <c r="C70" s="16" t="inlineStr">
        <is>
          <t>A</t>
        </is>
      </c>
      <c r="D70" s="16">
        <f>'2-24码分析'!G$11</f>
        <v/>
      </c>
      <c r="E70" s="16" t="n"/>
      <c r="F70" s="16" t="n"/>
      <c r="G70" s="16" t="n"/>
      <c r="H70" s="16" t="n"/>
      <c r="I70" s="16" t="n"/>
      <c r="J70" s="16" t="n"/>
    </row>
    <row r="71">
      <c r="A71" s="16">
        <f>'1-数据输入'!A11</f>
        <v/>
      </c>
      <c r="B71" s="16" t="n">
        <v>4</v>
      </c>
      <c r="C71" s="16" t="inlineStr">
        <is>
          <t>A</t>
        </is>
      </c>
      <c r="D71" s="16">
        <f>'2-24码分析'!G$13</f>
        <v/>
      </c>
      <c r="E71" s="16" t="n"/>
      <c r="F71" s="16" t="n"/>
      <c r="G71" s="16" t="n"/>
      <c r="H71" s="16" t="n"/>
      <c r="I71" s="16" t="n"/>
      <c r="J71" s="16" t="n"/>
    </row>
    <row r="72">
      <c r="A72" s="16">
        <f>'1-数据输入'!A11</f>
        <v/>
      </c>
      <c r="B72" s="16" t="n">
        <v>5</v>
      </c>
      <c r="C72" s="16" t="inlineStr">
        <is>
          <t>A</t>
        </is>
      </c>
      <c r="D72" s="16">
        <f>'2-24码分析'!G$15</f>
        <v/>
      </c>
      <c r="E72" s="16" t="n"/>
      <c r="F72" s="16" t="n"/>
      <c r="G72" s="16" t="n"/>
      <c r="H72" s="16" t="n"/>
      <c r="I72" s="16" t="n"/>
      <c r="J72" s="16" t="n"/>
    </row>
    <row r="73">
      <c r="A73" s="16">
        <f>'1-数据输入'!A11</f>
        <v/>
      </c>
      <c r="B73" s="16" t="n">
        <v>6</v>
      </c>
      <c r="C73" s="16" t="inlineStr">
        <is>
          <t>A</t>
        </is>
      </c>
      <c r="D73" s="16">
        <f>'2-24码分析'!G$17</f>
        <v/>
      </c>
      <c r="E73" s="16" t="n"/>
      <c r="F73" s="16" t="n"/>
      <c r="G73" s="16" t="n"/>
      <c r="H73" s="16" t="n"/>
      <c r="I73" s="16" t="n"/>
      <c r="J73" s="16" t="n"/>
    </row>
    <row r="74">
      <c r="A74" s="16">
        <f>'1-数据输入'!A11</f>
        <v/>
      </c>
      <c r="B74" s="16" t="n">
        <v>7</v>
      </c>
      <c r="C74" s="16" t="inlineStr">
        <is>
          <t>A</t>
        </is>
      </c>
      <c r="D74" s="16">
        <f>'2-24码分析'!G$19</f>
        <v/>
      </c>
      <c r="E74" s="16" t="n"/>
      <c r="F74" s="16" t="n"/>
      <c r="G74" s="16" t="n"/>
      <c r="H74" s="16" t="n"/>
      <c r="I74" s="16" t="n"/>
      <c r="J74" s="16" t="n"/>
    </row>
    <row r="75">
      <c r="A75" s="16">
        <f>'1-数据输入'!A11</f>
        <v/>
      </c>
      <c r="B75" s="16" t="n">
        <v>8</v>
      </c>
      <c r="C75" s="16" t="inlineStr">
        <is>
          <t>A</t>
        </is>
      </c>
      <c r="D75" s="16">
        <f>'2-24码分析'!G$21</f>
        <v/>
      </c>
      <c r="E75" s="16" t="n"/>
      <c r="F75" s="16" t="n"/>
      <c r="G75" s="16" t="n"/>
      <c r="H75" s="16" t="n"/>
      <c r="I75" s="16" t="n"/>
      <c r="J75" s="16" t="n"/>
    </row>
    <row r="76">
      <c r="A76" s="16">
        <f>'1-数据输入'!A11</f>
        <v/>
      </c>
      <c r="B76" s="16" t="n">
        <v>9</v>
      </c>
      <c r="C76" s="16" t="inlineStr">
        <is>
          <t>B</t>
        </is>
      </c>
      <c r="D76" s="16">
        <f>'2-24码分析'!G$23</f>
        <v/>
      </c>
      <c r="E76" s="16" t="n"/>
      <c r="F76" s="16" t="n"/>
      <c r="G76" s="16" t="n"/>
      <c r="H76" s="16" t="n"/>
      <c r="I76" s="16" t="n"/>
      <c r="J76" s="16" t="n"/>
    </row>
    <row r="77">
      <c r="A77" s="16">
        <f>'1-数据输入'!A11</f>
        <v/>
      </c>
      <c r="B77" s="16" t="n">
        <v>10</v>
      </c>
      <c r="C77" s="16" t="inlineStr">
        <is>
          <t>B</t>
        </is>
      </c>
      <c r="D77" s="16">
        <f>'2-24码分析'!G$25</f>
        <v/>
      </c>
      <c r="E77" s="16" t="n"/>
      <c r="F77" s="16" t="n"/>
      <c r="G77" s="16" t="n"/>
      <c r="H77" s="16" t="n"/>
      <c r="I77" s="16" t="n"/>
      <c r="J77" s="16" t="n"/>
    </row>
    <row r="78">
      <c r="A78" s="16">
        <f>'1-数据输入'!A12</f>
        <v/>
      </c>
      <c r="B78" s="16" t="n">
        <v>1</v>
      </c>
      <c r="C78" s="16" t="inlineStr">
        <is>
          <t>A</t>
        </is>
      </c>
      <c r="D78" s="16">
        <f>'2-24码分析'!G$7</f>
        <v/>
      </c>
      <c r="E78" s="16" t="n"/>
      <c r="F78" s="16" t="n"/>
      <c r="G78" s="16" t="n"/>
      <c r="H78" s="16" t="n"/>
      <c r="I78" s="16" t="n"/>
      <c r="J78" s="16" t="n"/>
    </row>
    <row r="79">
      <c r="A79" s="16">
        <f>'1-数据输入'!A12</f>
        <v/>
      </c>
      <c r="B79" s="16" t="n">
        <v>2</v>
      </c>
      <c r="C79" s="16" t="inlineStr">
        <is>
          <t>A</t>
        </is>
      </c>
      <c r="D79" s="16">
        <f>'2-24码分析'!G$9</f>
        <v/>
      </c>
      <c r="E79" s="16" t="n"/>
      <c r="F79" s="16" t="n"/>
      <c r="G79" s="16" t="n"/>
      <c r="H79" s="16" t="n"/>
      <c r="I79" s="16" t="n"/>
      <c r="J79" s="16" t="n"/>
    </row>
    <row r="80">
      <c r="A80" s="16">
        <f>'1-数据输入'!A12</f>
        <v/>
      </c>
      <c r="B80" s="16" t="n">
        <v>3</v>
      </c>
      <c r="C80" s="16" t="inlineStr">
        <is>
          <t>A</t>
        </is>
      </c>
      <c r="D80" s="16">
        <f>'2-24码分析'!G$11</f>
        <v/>
      </c>
      <c r="E80" s="16" t="n"/>
      <c r="F80" s="16" t="n"/>
      <c r="G80" s="16" t="n"/>
      <c r="H80" s="16" t="n"/>
      <c r="I80" s="16" t="n"/>
      <c r="J80" s="16" t="n"/>
    </row>
    <row r="81">
      <c r="A81" s="16">
        <f>'1-数据输入'!A12</f>
        <v/>
      </c>
      <c r="B81" s="16" t="n">
        <v>4</v>
      </c>
      <c r="C81" s="16" t="inlineStr">
        <is>
          <t>A</t>
        </is>
      </c>
      <c r="D81" s="16">
        <f>'2-24码分析'!G$13</f>
        <v/>
      </c>
      <c r="E81" s="16" t="n"/>
      <c r="F81" s="16" t="n"/>
      <c r="G81" s="16" t="n"/>
      <c r="H81" s="16" t="n"/>
      <c r="I81" s="16" t="n"/>
      <c r="J81" s="16" t="n"/>
    </row>
    <row r="82">
      <c r="A82" s="16">
        <f>'1-数据输入'!A12</f>
        <v/>
      </c>
      <c r="B82" s="16" t="n">
        <v>5</v>
      </c>
      <c r="C82" s="16" t="inlineStr">
        <is>
          <t>A</t>
        </is>
      </c>
      <c r="D82" s="16">
        <f>'2-24码分析'!G$15</f>
        <v/>
      </c>
      <c r="E82" s="16" t="n"/>
      <c r="F82" s="16" t="n"/>
      <c r="G82" s="16" t="n"/>
      <c r="H82" s="16" t="n"/>
      <c r="I82" s="16" t="n"/>
      <c r="J82" s="16" t="n"/>
    </row>
    <row r="83">
      <c r="A83" s="16">
        <f>'1-数据输入'!A12</f>
        <v/>
      </c>
      <c r="B83" s="16" t="n">
        <v>6</v>
      </c>
      <c r="C83" s="16" t="inlineStr">
        <is>
          <t>A</t>
        </is>
      </c>
      <c r="D83" s="16">
        <f>'2-24码分析'!G$17</f>
        <v/>
      </c>
      <c r="E83" s="16" t="n"/>
      <c r="F83" s="16" t="n"/>
      <c r="G83" s="16" t="n"/>
      <c r="H83" s="16" t="n"/>
      <c r="I83" s="16" t="n"/>
      <c r="J83" s="16" t="n"/>
    </row>
    <row r="84">
      <c r="A84" s="16">
        <f>'1-数据输入'!A12</f>
        <v/>
      </c>
      <c r="B84" s="16" t="n">
        <v>7</v>
      </c>
      <c r="C84" s="16" t="inlineStr">
        <is>
          <t>A</t>
        </is>
      </c>
      <c r="D84" s="16">
        <f>'2-24码分析'!G$19</f>
        <v/>
      </c>
      <c r="E84" s="16" t="n"/>
      <c r="F84" s="16" t="n"/>
      <c r="G84" s="16" t="n"/>
      <c r="H84" s="16" t="n"/>
      <c r="I84" s="16" t="n"/>
      <c r="J84" s="16" t="n"/>
    </row>
    <row r="85">
      <c r="A85" s="16">
        <f>'1-数据输入'!A12</f>
        <v/>
      </c>
      <c r="B85" s="16" t="n">
        <v>8</v>
      </c>
      <c r="C85" s="16" t="inlineStr">
        <is>
          <t>A</t>
        </is>
      </c>
      <c r="D85" s="16">
        <f>'2-24码分析'!G$21</f>
        <v/>
      </c>
      <c r="E85" s="16" t="n"/>
      <c r="F85" s="16" t="n"/>
      <c r="G85" s="16" t="n"/>
      <c r="H85" s="16" t="n"/>
      <c r="I85" s="16" t="n"/>
      <c r="J85" s="16" t="n"/>
    </row>
    <row r="86">
      <c r="A86" s="16">
        <f>'1-数据输入'!A12</f>
        <v/>
      </c>
      <c r="B86" s="16" t="n">
        <v>9</v>
      </c>
      <c r="C86" s="16" t="inlineStr">
        <is>
          <t>B</t>
        </is>
      </c>
      <c r="D86" s="16">
        <f>'2-24码分析'!G$23</f>
        <v/>
      </c>
      <c r="E86" s="16" t="n"/>
      <c r="F86" s="16" t="n"/>
      <c r="G86" s="16" t="n"/>
      <c r="H86" s="16" t="n"/>
      <c r="I86" s="16" t="n"/>
      <c r="J86" s="16" t="n"/>
    </row>
    <row r="87">
      <c r="A87" s="16">
        <f>'1-数据输入'!A12</f>
        <v/>
      </c>
      <c r="B87" s="16" t="n">
        <v>10</v>
      </c>
      <c r="C87" s="16" t="inlineStr">
        <is>
          <t>B</t>
        </is>
      </c>
      <c r="D87" s="16">
        <f>'2-24码分析'!G$25</f>
        <v/>
      </c>
      <c r="E87" s="16" t="n"/>
      <c r="F87" s="16" t="n"/>
      <c r="G87" s="16" t="n"/>
      <c r="H87" s="16" t="n"/>
      <c r="I87" s="16" t="n"/>
      <c r="J87" s="16" t="n"/>
    </row>
    <row r="88">
      <c r="A88" s="16">
        <f>'1-数据输入'!A13</f>
        <v/>
      </c>
      <c r="B88" s="16" t="n">
        <v>1</v>
      </c>
      <c r="C88" s="16" t="inlineStr">
        <is>
          <t>A</t>
        </is>
      </c>
      <c r="D88" s="16">
        <f>'2-24码分析'!G$7</f>
        <v/>
      </c>
      <c r="E88" s="16" t="n"/>
      <c r="F88" s="16" t="n"/>
      <c r="G88" s="16" t="n"/>
      <c r="H88" s="16" t="n"/>
      <c r="I88" s="16" t="n"/>
      <c r="J88" s="16" t="n"/>
    </row>
    <row r="89">
      <c r="A89" s="16">
        <f>'1-数据输入'!A13</f>
        <v/>
      </c>
      <c r="B89" s="16" t="n">
        <v>2</v>
      </c>
      <c r="C89" s="16" t="inlineStr">
        <is>
          <t>A</t>
        </is>
      </c>
      <c r="D89" s="16">
        <f>'2-24码分析'!G$9</f>
        <v/>
      </c>
      <c r="E89" s="16" t="n"/>
      <c r="F89" s="16" t="n"/>
      <c r="G89" s="16" t="n"/>
      <c r="H89" s="16" t="n"/>
      <c r="I89" s="16" t="n"/>
      <c r="J89" s="16" t="n"/>
    </row>
    <row r="90">
      <c r="A90" s="16">
        <f>'1-数据输入'!A13</f>
        <v/>
      </c>
      <c r="B90" s="16" t="n">
        <v>3</v>
      </c>
      <c r="C90" s="16" t="inlineStr">
        <is>
          <t>A</t>
        </is>
      </c>
      <c r="D90" s="16">
        <f>'2-24码分析'!G$11</f>
        <v/>
      </c>
      <c r="E90" s="16" t="n"/>
      <c r="F90" s="16" t="n"/>
      <c r="G90" s="16" t="n"/>
      <c r="H90" s="16" t="n"/>
      <c r="I90" s="16" t="n"/>
      <c r="J90" s="16" t="n"/>
    </row>
    <row r="91">
      <c r="A91" s="16">
        <f>'1-数据输入'!A13</f>
        <v/>
      </c>
      <c r="B91" s="16" t="n">
        <v>4</v>
      </c>
      <c r="C91" s="16" t="inlineStr">
        <is>
          <t>A</t>
        </is>
      </c>
      <c r="D91" s="16">
        <f>'2-24码分析'!G$13</f>
        <v/>
      </c>
      <c r="E91" s="16" t="n"/>
      <c r="F91" s="16" t="n"/>
      <c r="G91" s="16" t="n"/>
      <c r="H91" s="16" t="n"/>
      <c r="I91" s="16" t="n"/>
      <c r="J91" s="16" t="n"/>
    </row>
    <row r="92">
      <c r="A92" s="16">
        <f>'1-数据输入'!A13</f>
        <v/>
      </c>
      <c r="B92" s="16" t="n">
        <v>5</v>
      </c>
      <c r="C92" s="16" t="inlineStr">
        <is>
          <t>A</t>
        </is>
      </c>
      <c r="D92" s="16">
        <f>'2-24码分析'!G$15</f>
        <v/>
      </c>
      <c r="E92" s="16" t="n"/>
      <c r="F92" s="16" t="n"/>
      <c r="G92" s="16" t="n"/>
      <c r="H92" s="16" t="n"/>
      <c r="I92" s="16" t="n"/>
      <c r="J92" s="16" t="n"/>
    </row>
    <row r="93">
      <c r="A93" s="16">
        <f>'1-数据输入'!A13</f>
        <v/>
      </c>
      <c r="B93" s="16" t="n">
        <v>6</v>
      </c>
      <c r="C93" s="16" t="inlineStr">
        <is>
          <t>A</t>
        </is>
      </c>
      <c r="D93" s="16">
        <f>'2-24码分析'!G$17</f>
        <v/>
      </c>
      <c r="E93" s="16" t="n"/>
      <c r="F93" s="16" t="n"/>
      <c r="G93" s="16" t="n"/>
      <c r="H93" s="16" t="n"/>
      <c r="I93" s="16" t="n"/>
      <c r="J93" s="16" t="n"/>
    </row>
    <row r="94">
      <c r="A94" s="16">
        <f>'1-数据输入'!A13</f>
        <v/>
      </c>
      <c r="B94" s="16" t="n">
        <v>7</v>
      </c>
      <c r="C94" s="16" t="inlineStr">
        <is>
          <t>A</t>
        </is>
      </c>
      <c r="D94" s="16">
        <f>'2-24码分析'!G$19</f>
        <v/>
      </c>
      <c r="E94" s="16" t="n"/>
      <c r="F94" s="16" t="n"/>
      <c r="G94" s="16" t="n"/>
      <c r="H94" s="16" t="n"/>
      <c r="I94" s="16" t="n"/>
      <c r="J94" s="16" t="n"/>
    </row>
    <row r="95">
      <c r="A95" s="16">
        <f>'1-数据输入'!A13</f>
        <v/>
      </c>
      <c r="B95" s="16" t="n">
        <v>8</v>
      </c>
      <c r="C95" s="16" t="inlineStr">
        <is>
          <t>A</t>
        </is>
      </c>
      <c r="D95" s="16">
        <f>'2-24码分析'!G$21</f>
        <v/>
      </c>
      <c r="E95" s="16" t="n"/>
      <c r="F95" s="16" t="n"/>
      <c r="G95" s="16" t="n"/>
      <c r="H95" s="16" t="n"/>
      <c r="I95" s="16" t="n"/>
      <c r="J95" s="16" t="n"/>
    </row>
    <row r="96">
      <c r="A96" s="16">
        <f>'1-数据输入'!A13</f>
        <v/>
      </c>
      <c r="B96" s="16" t="n">
        <v>9</v>
      </c>
      <c r="C96" s="16" t="inlineStr">
        <is>
          <t>B</t>
        </is>
      </c>
      <c r="D96" s="16">
        <f>'2-24码分析'!G$23</f>
        <v/>
      </c>
      <c r="E96" s="16" t="n"/>
      <c r="F96" s="16" t="n"/>
      <c r="G96" s="16" t="n"/>
      <c r="H96" s="16" t="n"/>
      <c r="I96" s="16" t="n"/>
      <c r="J96" s="16" t="n"/>
    </row>
    <row r="97">
      <c r="A97" s="16">
        <f>'1-数据输入'!A13</f>
        <v/>
      </c>
      <c r="B97" s="16" t="n">
        <v>10</v>
      </c>
      <c r="C97" s="16" t="inlineStr">
        <is>
          <t>B</t>
        </is>
      </c>
      <c r="D97" s="16">
        <f>'2-24码分析'!G$25</f>
        <v/>
      </c>
      <c r="E97" s="16" t="n"/>
      <c r="F97" s="16" t="n"/>
      <c r="G97" s="16" t="n"/>
      <c r="H97" s="16" t="n"/>
      <c r="I97" s="16" t="n"/>
      <c r="J97" s="16" t="n"/>
    </row>
    <row r="98">
      <c r="A98" s="16">
        <f>'1-数据输入'!A14</f>
        <v/>
      </c>
      <c r="B98" s="16" t="n">
        <v>1</v>
      </c>
      <c r="C98" s="16" t="inlineStr">
        <is>
          <t>A</t>
        </is>
      </c>
      <c r="D98" s="16">
        <f>'2-24码分析'!G$7</f>
        <v/>
      </c>
      <c r="E98" s="16" t="n"/>
      <c r="F98" s="16" t="n"/>
      <c r="G98" s="16" t="n"/>
      <c r="H98" s="16" t="n"/>
      <c r="I98" s="16" t="n"/>
      <c r="J98" s="16" t="n"/>
    </row>
    <row r="99">
      <c r="A99" s="16">
        <f>'1-数据输入'!A14</f>
        <v/>
      </c>
      <c r="B99" s="16" t="n">
        <v>2</v>
      </c>
      <c r="C99" s="16" t="inlineStr">
        <is>
          <t>A</t>
        </is>
      </c>
      <c r="D99" s="16">
        <f>'2-24码分析'!G$9</f>
        <v/>
      </c>
      <c r="E99" s="16" t="n"/>
      <c r="F99" s="16" t="n"/>
      <c r="G99" s="16" t="n"/>
      <c r="H99" s="16" t="n"/>
      <c r="I99" s="16" t="n"/>
      <c r="J99" s="16" t="n"/>
    </row>
    <row r="100">
      <c r="A100" s="16">
        <f>'1-数据输入'!A14</f>
        <v/>
      </c>
      <c r="B100" s="16" t="n">
        <v>3</v>
      </c>
      <c r="C100" s="16" t="inlineStr">
        <is>
          <t>A</t>
        </is>
      </c>
      <c r="D100" s="16">
        <f>'2-24码分析'!G$11</f>
        <v/>
      </c>
      <c r="E100" s="16" t="n"/>
      <c r="F100" s="16" t="n"/>
      <c r="G100" s="16" t="n"/>
      <c r="H100" s="16" t="n"/>
      <c r="I100" s="16" t="n"/>
      <c r="J100" s="16" t="n"/>
    </row>
    <row r="101">
      <c r="A101" s="16">
        <f>'1-数据输入'!A14</f>
        <v/>
      </c>
      <c r="B101" s="16" t="n">
        <v>4</v>
      </c>
      <c r="C101" s="16" t="inlineStr">
        <is>
          <t>A</t>
        </is>
      </c>
      <c r="D101" s="16">
        <f>'2-24码分析'!G$13</f>
        <v/>
      </c>
      <c r="E101" s="16" t="n"/>
      <c r="F101" s="16" t="n"/>
      <c r="G101" s="16" t="n"/>
      <c r="H101" s="16" t="n"/>
      <c r="I101" s="16" t="n"/>
      <c r="J101" s="16" t="n"/>
    </row>
    <row r="102">
      <c r="A102" s="16">
        <f>'1-数据输入'!A14</f>
        <v/>
      </c>
      <c r="B102" s="16" t="n">
        <v>5</v>
      </c>
      <c r="C102" s="16" t="inlineStr">
        <is>
          <t>A</t>
        </is>
      </c>
      <c r="D102" s="16">
        <f>'2-24码分析'!G$15</f>
        <v/>
      </c>
      <c r="E102" s="16" t="n"/>
      <c r="F102" s="16" t="n"/>
      <c r="G102" s="16" t="n"/>
      <c r="H102" s="16" t="n"/>
      <c r="I102" s="16" t="n"/>
      <c r="J102" s="16" t="n"/>
    </row>
    <row r="103">
      <c r="A103" s="16">
        <f>'1-数据输入'!A14</f>
        <v/>
      </c>
      <c r="B103" s="16" t="n">
        <v>6</v>
      </c>
      <c r="C103" s="16" t="inlineStr">
        <is>
          <t>A</t>
        </is>
      </c>
      <c r="D103" s="16">
        <f>'2-24码分析'!G$17</f>
        <v/>
      </c>
      <c r="E103" s="16" t="n"/>
      <c r="F103" s="16" t="n"/>
      <c r="G103" s="16" t="n"/>
      <c r="H103" s="16" t="n"/>
      <c r="I103" s="16" t="n"/>
      <c r="J103" s="16" t="n"/>
    </row>
    <row r="104">
      <c r="A104" s="16">
        <f>'1-数据输入'!A14</f>
        <v/>
      </c>
      <c r="B104" s="16" t="n">
        <v>7</v>
      </c>
      <c r="C104" s="16" t="inlineStr">
        <is>
          <t>A</t>
        </is>
      </c>
      <c r="D104" s="16">
        <f>'2-24码分析'!G$19</f>
        <v/>
      </c>
      <c r="E104" s="16" t="n"/>
      <c r="F104" s="16" t="n"/>
      <c r="G104" s="16" t="n"/>
      <c r="H104" s="16" t="n"/>
      <c r="I104" s="16" t="n"/>
      <c r="J104" s="16" t="n"/>
    </row>
    <row r="105">
      <c r="A105" s="16">
        <f>'1-数据输入'!A14</f>
        <v/>
      </c>
      <c r="B105" s="16" t="n">
        <v>8</v>
      </c>
      <c r="C105" s="16" t="inlineStr">
        <is>
          <t>A</t>
        </is>
      </c>
      <c r="D105" s="16">
        <f>'2-24码分析'!G$21</f>
        <v/>
      </c>
      <c r="E105" s="16" t="n"/>
      <c r="F105" s="16" t="n"/>
      <c r="G105" s="16" t="n"/>
      <c r="H105" s="16" t="n"/>
      <c r="I105" s="16" t="n"/>
      <c r="J105" s="16" t="n"/>
    </row>
    <row r="106">
      <c r="A106" s="16">
        <f>'1-数据输入'!A14</f>
        <v/>
      </c>
      <c r="B106" s="16" t="n">
        <v>9</v>
      </c>
      <c r="C106" s="16" t="inlineStr">
        <is>
          <t>B</t>
        </is>
      </c>
      <c r="D106" s="16">
        <f>'2-24码分析'!G$23</f>
        <v/>
      </c>
      <c r="E106" s="16" t="n"/>
      <c r="F106" s="16" t="n"/>
      <c r="G106" s="16" t="n"/>
      <c r="H106" s="16" t="n"/>
      <c r="I106" s="16" t="n"/>
      <c r="J106" s="16" t="n"/>
    </row>
    <row r="107">
      <c r="A107" s="16">
        <f>'1-数据输入'!A14</f>
        <v/>
      </c>
      <c r="B107" s="16" t="n">
        <v>10</v>
      </c>
      <c r="C107" s="16" t="inlineStr">
        <is>
          <t>B</t>
        </is>
      </c>
      <c r="D107" s="16">
        <f>'2-24码分析'!G$25</f>
        <v/>
      </c>
      <c r="E107" s="16" t="n"/>
      <c r="F107" s="16" t="n"/>
      <c r="G107" s="16" t="n"/>
      <c r="H107" s="16" t="n"/>
      <c r="I107" s="16" t="n"/>
      <c r="J107" s="16" t="n"/>
    </row>
  </sheetData>
  <mergeCells count="3">
    <mergeCell ref="L7:N7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4" t="inlineStr">
        <is>
          <t>开奖结果输入与中奖判断</t>
        </is>
      </c>
    </row>
    <row r="2">
      <c r="A2" s="13" t="inlineStr">
        <is>
          <t>输入开奖号码后，系统自动判断中奖情况</t>
        </is>
      </c>
    </row>
    <row r="4">
      <c r="A4" s="17" t="inlineStr">
        <is>
          <t>期号</t>
        </is>
      </c>
      <c r="B4" s="17" t="inlineStr">
        <is>
          <t>开奖红球1</t>
        </is>
      </c>
      <c r="C4" s="17" t="inlineStr">
        <is>
          <t>红球2</t>
        </is>
      </c>
      <c r="D4" s="17" t="inlineStr">
        <is>
          <t>红球3</t>
        </is>
      </c>
      <c r="E4" s="17" t="inlineStr">
        <is>
          <t>红球4</t>
        </is>
      </c>
      <c r="F4" s="17" t="inlineStr">
        <is>
          <t>红球5</t>
        </is>
      </c>
      <c r="G4" s="17" t="inlineStr">
        <is>
          <t>红球6</t>
        </is>
      </c>
      <c r="H4" s="17" t="inlineStr">
        <is>
          <t>开奖蓝球</t>
        </is>
      </c>
      <c r="I4" s="17" t="inlineStr">
        <is>
          <t>录入时间</t>
        </is>
      </c>
    </row>
    <row r="5">
      <c r="A5" s="16">
        <f>'1-数据输入'!A5</f>
        <v/>
      </c>
      <c r="B5" s="16" t="n"/>
      <c r="C5" s="16" t="n"/>
      <c r="D5" s="16" t="n"/>
      <c r="E5" s="16" t="n"/>
      <c r="F5" s="16" t="n"/>
      <c r="G5" s="16" t="n"/>
      <c r="H5" s="16" t="n"/>
      <c r="I5" s="16" t="n"/>
    </row>
    <row r="6">
      <c r="A6" s="16">
        <f>'1-数据输入'!A6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</row>
    <row r="7">
      <c r="A7" s="16">
        <f>'1-数据输入'!A7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</row>
    <row r="8">
      <c r="A8" s="16">
        <f>'1-数据输入'!A8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6">
        <f>'1-数据输入'!A9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</row>
    <row r="10">
      <c r="A10" s="16">
        <f>'1-数据输入'!A10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16">
        <f>'1-数据输入'!A11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6">
        <f>'1-数据输入'!A12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16">
        <f>'1-数据输入'!A13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6">
        <f>'1-数据输入'!A14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>
      <c r="A15" s="16">
        <f>'1-数据输入'!A15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>
      <c r="A16" s="16">
        <f>'1-数据输入'!A16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</row>
    <row r="17">
      <c r="A17" s="16">
        <f>'1-数据输入'!A17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6">
        <f>'1-数据输入'!A18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6">
        <f>'1-数据输入'!A19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>
        <f>'1-数据输入'!A20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>
      <c r="A21" s="16">
        <f>'1-数据输入'!A21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6">
        <f>'1-数据输入'!A22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>
      <c r="A23" s="16">
        <f>'1-数据输入'!A23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6">
        <f>'1-数据输入'!A24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6">
        <f>'1-数据输入'!A25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6">
        <f>'1-数据输入'!A26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6">
        <f>'1-数据输入'!A27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>
      <c r="A28" s="16">
        <f>'1-数据输入'!A28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>
      <c r="A29" s="16">
        <f>'1-数据输入'!A29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>
      <c r="A30" s="16">
        <f>'1-数据输入'!A30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>
      <c r="A31" s="16">
        <f>'1-数据输入'!A31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>
      <c r="A32" s="16">
        <f>'1-数据输入'!A32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6">
        <f>'1-数据输入'!A33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>
      <c r="A34" s="16">
        <f>'1-数据输入'!A34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</row>
    <row r="35">
      <c r="A35" s="16">
        <f>'1-数据输入'!A35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>
      <c r="A36" s="16">
        <f>'1-数据输入'!A36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>
      <c r="A37" s="16">
        <f>'1-数据输入'!A37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>
      <c r="A38" s="16">
        <f>'1-数据输入'!A38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>
      <c r="A39" s="16">
        <f>'1-数据输入'!A39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>
      <c r="A40" s="16">
        <f>'1-数据输入'!A40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</row>
    <row r="41">
      <c r="A41" s="16">
        <f>'1-数据输入'!A41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>
      <c r="A42" s="16">
        <f>'1-数据输入'!A42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>
      <c r="A43" s="16">
        <f>'1-数据输入'!A43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>
      <c r="A44" s="16">
        <f>'1-数据输入'!A44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</row>
    <row r="45">
      <c r="A45" s="16">
        <f>'1-数据输入'!A45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</row>
    <row r="46">
      <c r="A46" s="16">
        <f>'1-数据输入'!A46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>
      <c r="A47" s="16">
        <f>'1-数据输入'!A47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</row>
    <row r="48">
      <c r="A48" s="16">
        <f>'1-数据输入'!A48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</row>
    <row r="49">
      <c r="A49" s="16">
        <f>'1-数据输入'!A49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>
      <c r="A50" s="16">
        <f>'1-数据输入'!A50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</row>
    <row r="51">
      <c r="A51" s="16">
        <f>'1-数据输入'!A51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>
      <c r="A52" s="16">
        <f>'1-数据输入'!A52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>
      <c r="A53" s="16">
        <f>'1-数据输入'!A53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</row>
    <row r="54">
      <c r="A54" s="16">
        <f>'1-数据输入'!A54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</cols>
  <sheetData>
    <row r="1">
      <c r="A1" s="14" t="inlineStr">
        <is>
          <t>投注与中奖历史记录</t>
        </is>
      </c>
    </row>
    <row r="3">
      <c r="A3" s="17" t="inlineStr">
        <is>
          <t>期号</t>
        </is>
      </c>
      <c r="B3" s="17" t="inlineStr">
        <is>
          <t>注号</t>
        </is>
      </c>
      <c r="C3" s="17" t="inlineStr">
        <is>
          <t>投注红球</t>
        </is>
      </c>
      <c r="D3" s="17" t="inlineStr">
        <is>
          <t>投注蓝球</t>
        </is>
      </c>
      <c r="E3" s="17" t="inlineStr">
        <is>
          <t>开奖红球</t>
        </is>
      </c>
      <c r="F3" s="17" t="inlineStr">
        <is>
          <t>开奖蓝球</t>
        </is>
      </c>
      <c r="G3" s="17" t="inlineStr">
        <is>
          <t>中红球数</t>
        </is>
      </c>
      <c r="H3" s="17" t="inlineStr">
        <is>
          <t>中蓝球</t>
        </is>
      </c>
      <c r="I3" s="17" t="inlineStr">
        <is>
          <t>中奖等级</t>
        </is>
      </c>
      <c r="J3" s="17" t="inlineStr">
        <is>
          <t>奖金</t>
        </is>
      </c>
      <c r="K3" s="17" t="inlineStr">
        <is>
          <t>投入</t>
        </is>
      </c>
      <c r="L3" s="17" t="inlineStr">
        <is>
          <t>盈亏</t>
        </is>
      </c>
      <c r="M3" s="17" t="inlineStr">
        <is>
          <t>备注</t>
        </is>
      </c>
      <c r="O3" s="21" t="inlineStr">
        <is>
          <t>中奖等级说明</t>
        </is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O4" s="4" t="inlineStr">
        <is>
          <t>一等奖</t>
        </is>
      </c>
      <c r="P4" t="inlineStr">
        <is>
          <t>6+1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O5" s="4" t="inlineStr">
        <is>
          <t>二等奖</t>
        </is>
      </c>
      <c r="P5" t="inlineStr">
        <is>
          <t>6+0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O6" s="4" t="inlineStr">
        <is>
          <t>三等奖</t>
        </is>
      </c>
      <c r="P6" t="inlineStr">
        <is>
          <t>5+1</t>
        </is>
      </c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O7" s="4" t="inlineStr">
        <is>
          <t>四等奖</t>
        </is>
      </c>
      <c r="P7" t="inlineStr">
        <is>
          <t>5+0 / 4+1</t>
        </is>
      </c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O8" s="4" t="inlineStr">
        <is>
          <t>五等奖</t>
        </is>
      </c>
      <c r="P8" t="inlineStr">
        <is>
          <t>4+0 / 3+1</t>
        </is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O9" s="4" t="inlineStr">
        <is>
          <t>六等奖</t>
        </is>
      </c>
      <c r="P9" t="inlineStr">
        <is>
          <t>2+1 / 1+1 / 0+1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</row>
  </sheetData>
  <mergeCells count="2">
    <mergeCell ref="O3:P3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>
      <c r="A1" s="14" t="inlineStr">
        <is>
          <t>数据统计与分析报告</t>
        </is>
      </c>
    </row>
    <row r="3">
      <c r="A3" s="21" t="inlineStr">
        <is>
          <t>总体统计</t>
        </is>
      </c>
      <c r="D3" s="21" t="inlineStr">
        <is>
          <t>中奖等级分布</t>
        </is>
      </c>
      <c r="F3" s="21" t="inlineStr">
        <is>
          <t>24码热度TOP10</t>
        </is>
      </c>
    </row>
    <row r="4">
      <c r="A4" s="22" t="inlineStr">
        <is>
          <t>总投注期数</t>
        </is>
      </c>
      <c r="B4" s="23">
        <f>COUNTA('5-历史记录'!A4:A503)</f>
        <v/>
      </c>
      <c r="D4" s="22" t="inlineStr">
        <is>
          <t>一等奖</t>
        </is>
      </c>
      <c r="E4" s="23">
        <f>COUNTIF('5-历史记录'!I4:I503,D4)</f>
        <v/>
      </c>
      <c r="F4" s="24" t="inlineStr">
        <is>
          <t>排名</t>
        </is>
      </c>
      <c r="G4" s="24" t="inlineStr">
        <is>
          <t>号码</t>
        </is>
      </c>
      <c r="H4" s="24" t="inlineStr">
        <is>
          <t>出现次数</t>
        </is>
      </c>
    </row>
    <row r="5">
      <c r="A5" s="22" t="inlineStr">
        <is>
          <t>总投注注数</t>
        </is>
      </c>
      <c r="B5" s="23">
        <f>COUNTA('5-历史记录'!B4:B503)</f>
        <v/>
      </c>
      <c r="D5" s="22" t="inlineStr">
        <is>
          <t>二等奖</t>
        </is>
      </c>
      <c r="E5" s="23">
        <f>COUNTIF('5-历史记录'!I4:I503,D5)</f>
        <v/>
      </c>
      <c r="F5" s="16" t="n">
        <v>1</v>
      </c>
      <c r="G5" s="16">
        <f>'2-24码分析'!G5</f>
        <v/>
      </c>
      <c r="H5" s="16">
        <f>'2-24码分析'!B5</f>
        <v/>
      </c>
    </row>
    <row r="6">
      <c r="A6" s="22" t="inlineStr">
        <is>
          <t>总投入金额</t>
        </is>
      </c>
      <c r="B6" s="23">
        <f>SUM('5-历史记录'!K4:K503)</f>
        <v/>
      </c>
      <c r="D6" s="22" t="inlineStr">
        <is>
          <t>三等奖</t>
        </is>
      </c>
      <c r="E6" s="23">
        <f>COUNTIF('5-历史记录'!I4:I503,D6)</f>
        <v/>
      </c>
      <c r="F6" s="16" t="n">
        <v>2</v>
      </c>
      <c r="G6" s="16">
        <f>'2-24码分析'!G6</f>
        <v/>
      </c>
      <c r="H6" s="16">
        <f>'2-24码分析'!B6</f>
        <v/>
      </c>
    </row>
    <row r="7">
      <c r="A7" s="22" t="inlineStr">
        <is>
          <t>总中奖注数</t>
        </is>
      </c>
      <c r="B7" s="23">
        <f>COUNTIF('5-历史记录'!I4:I503,"&lt;&gt;")</f>
        <v/>
      </c>
      <c r="D7" s="22" t="inlineStr">
        <is>
          <t>四等奖</t>
        </is>
      </c>
      <c r="E7" s="23">
        <f>COUNTIF('5-历史记录'!I4:I503,D7)</f>
        <v/>
      </c>
      <c r="F7" s="16" t="n">
        <v>3</v>
      </c>
      <c r="G7" s="16">
        <f>'2-24码分析'!G7</f>
        <v/>
      </c>
      <c r="H7" s="16">
        <f>'2-24码分析'!B7</f>
        <v/>
      </c>
    </row>
    <row r="8">
      <c r="A8" s="22" t="inlineStr">
        <is>
          <t>总奖金</t>
        </is>
      </c>
      <c r="B8" s="23">
        <f>SUM('5-历史记录'!J4:J503)</f>
        <v/>
      </c>
      <c r="D8" s="22" t="inlineStr">
        <is>
          <t>五等奖</t>
        </is>
      </c>
      <c r="E8" s="23">
        <f>COUNTIF('5-历史记录'!I4:I503,D8)</f>
        <v/>
      </c>
      <c r="F8" s="16" t="n">
        <v>4</v>
      </c>
      <c r="G8" s="16">
        <f>'2-24码分析'!G8</f>
        <v/>
      </c>
      <c r="H8" s="16">
        <f>'2-24码分析'!B8</f>
        <v/>
      </c>
    </row>
    <row r="9">
      <c r="A9" s="22" t="inlineStr">
        <is>
          <t>总盈亏</t>
        </is>
      </c>
      <c r="B9" s="23">
        <f>SUM('5-历史记录'!L4:L503)</f>
        <v/>
      </c>
      <c r="D9" s="22" t="inlineStr">
        <is>
          <t>六等奖</t>
        </is>
      </c>
      <c r="E9" s="23">
        <f>COUNTIF('5-历史记录'!I4:I503,D9)</f>
        <v/>
      </c>
      <c r="F9" s="16" t="n">
        <v>5</v>
      </c>
      <c r="G9" s="16">
        <f>'2-24码分析'!G9</f>
        <v/>
      </c>
      <c r="H9" s="16">
        <f>'2-24码分析'!B9</f>
        <v/>
      </c>
    </row>
    <row r="10">
      <c r="A10" s="22" t="inlineStr">
        <is>
          <t>中奖率</t>
        </is>
      </c>
      <c r="B10" s="25">
        <f>B7/B5</f>
        <v/>
      </c>
      <c r="F10" s="16" t="n">
        <v>6</v>
      </c>
      <c r="G10" s="16">
        <f>'2-24码分析'!G10</f>
        <v/>
      </c>
      <c r="H10" s="16">
        <f>'2-24码分析'!B10</f>
        <v/>
      </c>
    </row>
    <row r="11">
      <c r="A11" s="22" t="inlineStr">
        <is>
          <t>投资回报率</t>
        </is>
      </c>
      <c r="B11" s="25">
        <f>B8/B6</f>
        <v/>
      </c>
      <c r="F11" s="16" t="n">
        <v>7</v>
      </c>
      <c r="G11" s="16">
        <f>'2-24码分析'!G11</f>
        <v/>
      </c>
      <c r="H11" s="16">
        <f>'2-24码分析'!B11</f>
        <v/>
      </c>
    </row>
    <row r="12">
      <c r="F12" s="16" t="n">
        <v>8</v>
      </c>
      <c r="G12" s="16">
        <f>'2-24码分析'!G12</f>
        <v/>
      </c>
      <c r="H12" s="16">
        <f>'2-24码分析'!B12</f>
        <v/>
      </c>
    </row>
    <row r="13">
      <c r="A13" s="21" t="inlineStr">
        <is>
          <t>模板效率对比</t>
        </is>
      </c>
      <c r="F13" s="16" t="n">
        <v>9</v>
      </c>
      <c r="G13" s="16">
        <f>'2-24码分析'!G13</f>
        <v/>
      </c>
      <c r="H13" s="16">
        <f>'2-24码分析'!B13</f>
        <v/>
      </c>
    </row>
    <row r="14">
      <c r="A14" s="24" t="inlineStr">
        <is>
          <t>模板</t>
        </is>
      </c>
      <c r="B14" s="24" t="inlineStr">
        <is>
          <t>使用次数</t>
        </is>
      </c>
      <c r="C14" s="24" t="inlineStr">
        <is>
          <t>中奖次数</t>
        </is>
      </c>
      <c r="D14" s="24" t="inlineStr">
        <is>
          <t>中奖率</t>
        </is>
      </c>
      <c r="F14" s="16" t="n">
        <v>10</v>
      </c>
      <c r="G14" s="16">
        <f>'2-24码分析'!G14</f>
        <v/>
      </c>
      <c r="H14" s="16">
        <f>'2-24码分析'!B14</f>
        <v/>
      </c>
    </row>
    <row r="15">
      <c r="A15" s="23" t="inlineStr">
        <is>
          <t>模板A</t>
        </is>
      </c>
      <c r="B15" s="23" t="n"/>
      <c r="C15" s="23" t="n"/>
      <c r="D15" s="23" t="n"/>
    </row>
    <row r="16">
      <c r="A16" s="23" t="inlineStr">
        <is>
          <t>模板B</t>
        </is>
      </c>
      <c r="B16" s="23" t="n"/>
      <c r="C16" s="23" t="n"/>
      <c r="D16" s="23" t="n"/>
    </row>
  </sheetData>
  <mergeCells count="5">
    <mergeCell ref="A13:C13"/>
    <mergeCell ref="A1:F1"/>
    <mergeCell ref="F3:H3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2026-01-04T10:39:09Z</dcterms:created>
  <dcterms:modified xsi:type="dcterms:W3CDTF">2026-01-04T10:39:09Z</dcterms:modified>
</cp:coreProperties>
</file>